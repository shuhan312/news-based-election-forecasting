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43fce28d0c2435a" /></Relationships>
</file>

<file path=xl/workbook.xml><?xml version="1.0" encoding="utf-8"?>
<x:workbook xmlns:x="http://schemas.openxmlformats.org/spreadsheetml/2006/main">
  <x:sheets>
    <x:sheet xmlns:r="http://schemas.openxmlformats.org/officeDocument/2006/relationships" name="Instructions" sheetId="1" r:id="Raf27dfe3d26c4002"/>
    <x:sheet xmlns:r="http://schemas.openxmlformats.org/officeDocument/2006/relationships" name="Review" sheetId="2" r:id="Rae87205c6e3e4b83"/>
    <x:sheet xmlns:r="http://schemas.openxmlformats.org/officeDocument/2006/relationships" name="Article Text" sheetId="3" r:id="R135efa5a741e4ca3"/>
    <x:sheet xmlns:r="http://schemas.openxmlformats.org/officeDocument/2006/relationships" name="Summary" sheetId="4" r:id="Rc616b5b696624cda"/>
    <x:sheet xmlns:r="http://schemas.openxmlformats.org/officeDocument/2006/relationships" name="Code Lists" sheetId="5" r:id="R88655cb45e594f8b"/>
    <x:sheet xmlns:r="http://schemas.openxmlformats.org/officeDocument/2006/relationships" name="Independent Review" sheetId="6" r:id="Rcd07fabf29ec4c1a"/>
    <x:sheet xmlns:r="http://schemas.openxmlformats.org/officeDocument/2006/relationships" name="Geographic Linkage" sheetId="7" r:id="Rac15a014a1a645b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0">
    <x:font>
      <x:sz val="11"/>
      <x:name val="Carlito"/>
    </x:font>
    <x:font>
      <x:b/>
      <x:sz val="16"/>
      <x:color rgb="FFFFFFFF"/>
      <x:name val="Carlito"/>
    </x:font>
    <x:font>
      <x:b/>
      <x:sz val="11"/>
      <x:color rgb="FF404040"/>
      <x:name val="Carlito"/>
    </x:font>
    <x:font>
      <x:b/>
      <x:sz val="11"/>
      <x:color rgb="FF1F4E78"/>
      <x:name val="Carlito"/>
    </x:font>
    <x:font>
      <x:b/>
      <x:sz val="15"/>
      <x:color rgb="FFFFFFFF"/>
      <x:name val="Carlito"/>
    </x:font>
    <x:font>
      <x:sz val="11"/>
      <x:color rgb="FF404040"/>
      <x:name val="Carlito"/>
    </x:font>
    <x:font>
      <x:b/>
      <x:sz val="11"/>
      <x:color rgb="FFFFFFFF"/>
      <x:name val="Carlito"/>
    </x:font>
    <x:font>
      <x:b/>
      <x:sz val="14"/>
      <x:color rgb="FFFFFFFF"/>
      <x:name val="Carlito"/>
    </x:font>
    <x:font>
      <x:i/>
      <x:sz val="11"/>
      <x:color rgb="FF1F1F1F"/>
      <x:name val="Carlito"/>
    </x:font>
    <x:font>
      <x:b/>
      <x:sz val="11"/>
      <x:color rgb="FF9C0006"/>
      <x:name val="Carlito"/>
    </x:font>
  </x:fonts>
  <x:fills count="24">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EF5FB"/>
      </x:patternFill>
    </x:fill>
    <x:fill>
      <x:patternFill patternType="solid">
        <x:fgColor rgb="FFE7E6E6"/>
      </x:patternFill>
    </x:fill>
    <x:fill>
      <x:patternFill patternType="solid">
        <x:fgColor rgb="FFFFF2CC"/>
      </x:patternFill>
    </x:fill>
    <x:fill>
      <x:patternFill patternType="solid">
        <x:fgColor rgb="FFE2F0D9"/>
      </x:patternFill>
    </x:fill>
    <x:fill>
      <x:patternFill patternType="solid">
        <x:fgColor rgb="FF1F4E78"/>
      </x:patternFill>
    </x:fill>
    <x:fill>
      <x:patternFill patternType="solid">
        <x:fgColor rgb="FFD9EAF7"/>
      </x:patternFill>
    </x:fill>
    <x:fill>
      <x:patternFill patternType="solid">
        <x:fgColor rgb="FFE7E6E6"/>
      </x:patternFill>
    </x:fill>
    <x:fill>
      <x:patternFill patternType="solid">
        <x:fgColor rgb="FFFFF2CC"/>
      </x:patternFill>
    </x:fill>
    <x:fill>
      <x:patternFill patternType="solid">
        <x:fgColor rgb="FFE2F0D9"/>
      </x:patternFill>
    </x:fill>
    <x:fill>
      <x:patternFill patternType="solid">
        <x:fgColor rgb="FF17365D"/>
      </x:patternFill>
    </x:fill>
    <x:fill>
      <x:patternFill patternType="solid">
        <x:fgColor rgb="FFDCE6F1"/>
      </x:patternFill>
    </x:fill>
    <x:fill>
      <x:patternFill patternType="solid">
        <x:fgColor rgb="FF1F4E78"/>
      </x:patternFill>
    </x:fill>
    <x:fill>
      <x:patternFill patternType="solid">
        <x:fgColor rgb="FFF2F2F2"/>
      </x:patternFill>
    </x:fill>
    <x:fill>
      <x:patternFill patternType="solid">
        <x:fgColor rgb="FFDDEB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FCE4D6"/>
      </x:patternFill>
    </x:fill>
    <x:fill>
      <x:patternFill patternType="solid">
        <x:fgColor rgb="FF1F4E78"/>
      </x:patternFill>
    </x:fill>
    <x:fill>
      <x:patternFill patternType="solid">
        <x:fgColor rgb="FFE2F0D9"/>
      </x:patternFill>
    </x:fill>
  </x:fills>
  <x:borders count="17">
    <x:border/>
    <x:border>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top style="thin">
        <x:color rgb="FFD9E2F3"/>
      </x:top>
    </x:border>
    <x:border>
      <x:right style="thin">
        <x:color rgb="FFD9D9D9"/>
      </x:right>
      <x:bottom style="thin">
        <x:color rgb="FFD9D9D9"/>
      </x:bottom>
    </x:border>
    <x:border>
      <x:left style="thin">
        <x:color rgb="FFD9D9D9"/>
      </x:left>
      <x:right style="thin">
        <x:color rgb="FFD9D9D9"/>
      </x:right>
      <x:bottom style="thin">
        <x:color rgb="FFD9D9D9"/>
      </x:bottom>
    </x:border>
    <x:border>
      <x:left style="thin">
        <x:color rgb="FFD9D9D9"/>
      </x:left>
      <x:bottom style="thin">
        <x:color rgb="FFD9D9D9"/>
      </x:bottom>
    </x:border>
    <x:border>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
      <x:left style="thin">
        <x:color rgb="FFD9D9D9"/>
      </x:left>
      <x:top style="thin">
        <x:color rgb="FFD9D9D9"/>
      </x:top>
      <x:bottom style="thin">
        <x:color rgb="FFD9D9D9"/>
      </x:bottom>
    </x:border>
    <x:border>
      <x:right style="thin">
        <x:color rgb="FFD9D9D9"/>
      </x:right>
      <x:top style="thin">
        <x:color rgb="FFD9D9D9"/>
      </x:top>
    </x:border>
    <x:border>
      <x:left style="thin">
        <x:color rgb="FFD9D9D9"/>
      </x:left>
      <x:right style="thin">
        <x:color rgb="FFD9D9D9"/>
      </x:right>
      <x:top style="thin">
        <x:color rgb="FFD9D9D9"/>
      </x:top>
    </x:border>
    <x:border>
      <x:left style="thin">
        <x:color rgb="FFD9D9D9"/>
      </x:left>
      <x:top style="thin">
        <x:color rgb="FFD9D9D9"/>
      </x:top>
    </x:border>
    <x:border>
      <x:left style="thin">
        <x:color rgb="FFD9E1F2"/>
      </x:left>
      <x:right style="thin">
        <x:color rgb="FFD9E1F2"/>
      </x:right>
      <x:top style="thin">
        <x:color rgb="FFD9E1F2"/>
      </x:top>
      <x:bottom style="thin">
        <x:color rgb="FFD9E1F2"/>
      </x:bottom>
    </x:border>
  </x:borders>
  <x:cellStyleXfs count="1">
    <x:xf numFmtId="0" fontId="0" fillId="0" borderId="0"/>
  </x:cellStyleXfs>
  <x:cellXfs count="13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3" fillId="4"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4" fillId="2"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vertical="center" wrapText="1"/>
    </x:xf>
    <x:xf numFmtId="0" fontId="0" fillId="5" borderId="0" xfId="0" applyNumberFormat="1" applyFont="1" applyFill="1" applyBorder="1"/>
    <x:xf numFmtId="0" fontId="0" fillId="6" borderId="0" xfId="0" applyNumberFormat="1" applyFont="1" applyFill="1" applyBorder="1"/>
    <x:xf numFmtId="0" fontId="0" fillId="7" borderId="0" xfId="0" applyNumberFormat="1" applyFont="1" applyFill="1" applyBorder="1"/>
    <x:xf numFmtId="0" fontId="6" fillId="2" borderId="7" xfId="0" applyNumberFormat="1" applyFont="1" applyFill="1" applyBorder="1" applyAlignment="1">
      <x:alignment vertical="center" wrapText="1"/>
    </x:xf>
    <x:xf numFmtId="0" fontId="6" fillId="2" borderId="8" xfId="0" applyNumberFormat="1" applyFont="1" applyFill="1" applyBorder="1" applyAlignment="1">
      <x:alignment vertical="center" wrapText="1"/>
    </x:xf>
    <x:xf numFmtId="0" fontId="6" fillId="2" borderId="9" xfId="0" applyNumberFormat="1" applyFont="1" applyFill="1" applyBorder="1" applyAlignment="1">
      <x:alignment vertical="center" wrapText="1"/>
    </x:xf>
    <x:xf numFmtId="0" fontId="0" fillId="5" borderId="10" xfId="0" applyNumberFormat="1" applyFont="1" applyFill="1" applyBorder="1"/>
    <x:xf numFmtId="0" fontId="0" fillId="5" borderId="11" xfId="0" applyNumberFormat="1" applyFont="1" applyFill="1" applyBorder="1"/>
    <x:xf numFmtId="0" fontId="0" fillId="6" borderId="11" xfId="0" applyNumberFormat="1" applyFont="1" applyFill="1" applyBorder="1"/>
    <x:xf numFmtId="0" fontId="0" fillId="7" borderId="12" xfId="0" applyNumberFormat="1" applyFont="1" applyFill="1" applyBorder="1"/>
    <x:xf numFmtId="0" fontId="0" fillId="5" borderId="13" xfId="0" applyNumberFormat="1" applyFont="1" applyFill="1" applyBorder="1"/>
    <x:xf numFmtId="0" fontId="0" fillId="5" borderId="14" xfId="0" applyNumberFormat="1" applyFont="1" applyFill="1" applyBorder="1"/>
    <x:xf numFmtId="0" fontId="0" fillId="6" borderId="14" xfId="0" applyNumberFormat="1" applyFont="1" applyFill="1" applyBorder="1"/>
    <x:xf numFmtId="0" fontId="0" fillId="7" borderId="15" xfId="0" applyNumberFormat="1" applyFont="1" applyFill="1" applyBorder="1"/>
    <x:xf numFmtId="0" fontId="0" fillId="5" borderId="10" xfId="0" applyNumberFormat="1" applyFont="1" applyFill="1" applyBorder="1" applyAlignment="1">
      <x:alignment vertical="top"/>
    </x:xf>
    <x:xf numFmtId="0" fontId="0" fillId="5" borderId="11" xfId="0" applyNumberFormat="1" applyFont="1" applyFill="1" applyBorder="1" applyAlignment="1">
      <x:alignment vertical="top"/>
    </x:xf>
    <x:xf numFmtId="0" fontId="0" fillId="6" borderId="11" xfId="0" applyNumberFormat="1" applyFont="1" applyFill="1" applyBorder="1" applyAlignment="1">
      <x:alignment vertical="top"/>
    </x:xf>
    <x:xf numFmtId="0" fontId="0" fillId="7" borderId="12" xfId="0" applyNumberFormat="1" applyFont="1" applyFill="1" applyBorder="1" applyAlignment="1">
      <x:alignment vertical="top"/>
    </x:xf>
    <x:xf numFmtId="0" fontId="0" fillId="5" borderId="13" xfId="0" applyNumberFormat="1" applyFont="1" applyFill="1" applyBorder="1" applyAlignment="1">
      <x:alignment vertical="top"/>
    </x:xf>
    <x:xf numFmtId="0" fontId="0" fillId="5" borderId="14" xfId="0" applyNumberFormat="1" applyFont="1" applyFill="1" applyBorder="1" applyAlignment="1">
      <x:alignment vertical="top"/>
    </x:xf>
    <x:xf numFmtId="0" fontId="0" fillId="6" borderId="14" xfId="0" applyNumberFormat="1" applyFont="1" applyFill="1" applyBorder="1" applyAlignment="1">
      <x:alignment vertical="top"/>
    </x:xf>
    <x:xf numFmtId="0" fontId="0" fillId="7" borderId="15" xfId="0" applyNumberFormat="1" applyFont="1" applyFill="1" applyBorder="1" applyAlignment="1">
      <x:alignment vertical="top"/>
    </x:xf>
    <x:xf numFmtId="0" fontId="0" fillId="5" borderId="11" xfId="0" applyNumberFormat="1" applyFont="1" applyFill="1" applyBorder="1" applyAlignment="1">
      <x:alignment vertical="top" wrapText="1"/>
    </x:xf>
    <x:xf numFmtId="0" fontId="0" fillId="5" borderId="14" xfId="0" applyNumberFormat="1" applyFont="1" applyFill="1" applyBorder="1" applyAlignment="1">
      <x:alignment vertical="top" wrapText="1"/>
    </x:xf>
    <x:xf numFmtId="0" fontId="0" fillId="6" borderId="11" xfId="0" applyNumberFormat="1" applyFont="1" applyFill="1" applyBorder="1" applyAlignment="1">
      <x:alignment vertical="top" wrapText="1"/>
    </x:xf>
    <x:xf numFmtId="0" fontId="0" fillId="6" borderId="14" xfId="0" applyNumberFormat="1" applyFont="1" applyFill="1" applyBorder="1" applyAlignment="1">
      <x:alignment vertical="top" wrapText="1"/>
    </x:xf>
    <x:xf numFmtId="0" fontId="7" fillId="2" borderId="0" xfId="0" applyNumberFormat="1" applyFont="1" applyFill="1" applyBorder="1"/>
    <x:xf numFmtId="0" fontId="6" fillId="2" borderId="7" xfId="0" applyNumberFormat="1" applyFont="1" applyFill="1" applyBorder="1"/>
    <x:xf numFmtId="0" fontId="6" fillId="2" borderId="9" xfId="0" applyNumberFormat="1" applyFont="1" applyFill="1" applyBorder="1"/>
    <x:xf numFmtId="0" fontId="0" fillId="4" borderId="10" xfId="0" applyNumberFormat="1" applyFont="1" applyFill="1" applyBorder="1"/>
    <x:xf numFmtId="0" fontId="0" fillId="4" borderId="13" xfId="0" applyNumberFormat="1" applyFont="1" applyFill="1" applyBorder="1"/>
    <x:xf numFmtId="200" fontId="0" fillId="7" borderId="12" xfId="0" applyNumberFormat="1" applyFont="1" applyFill="1" applyBorder="1"/>
    <x:xf numFmtId="200" fontId="0" fillId="7" borderId="15"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0" fillId="8" borderId="0" xfId="0" applyNumberFormat="1" applyFont="1" applyFill="1" applyBorder="1"/>
    <x:xf numFmtId="0" fontId="4" fillId="8" borderId="0" xfId="0" applyNumberFormat="1" applyFont="1" applyFill="1" applyBorder="1"/>
    <x:xf numFmtId="0" fontId="0" fillId="9" borderId="0" xfId="0" applyNumberFormat="1" applyFont="1" applyFill="1" applyBorder="1"/>
    <x:xf numFmtId="0" fontId="0" fillId="9" borderId="0" xfId="0" applyNumberFormat="1" applyFont="1" applyFill="1" applyBorder="1" applyAlignment="1">
      <x:alignment wrapText="1"/>
    </x:xf>
    <x:xf numFmtId="0" fontId="6" fillId="8" borderId="0" xfId="0" applyNumberFormat="1" applyFont="1" applyFill="1" applyBorder="1"/>
    <x:xf numFmtId="0" fontId="6" fillId="8" borderId="0" xfId="0" applyNumberFormat="1" applyFont="1" applyFill="1" applyBorder="1" applyAlignment="1">
      <x:alignment wrapText="1"/>
    </x:xf>
    <x:xf numFmtId="0" fontId="0" fillId="10" borderId="0" xfId="0" applyNumberFormat="1" applyFont="1" applyFill="1" applyBorder="1"/>
    <x:xf numFmtId="0" fontId="0" fillId="11" borderId="0" xfId="0" applyNumberFormat="1" applyFont="1" applyFill="1" applyBorder="1"/>
    <x:xf numFmtId="0" fontId="0" fillId="12" borderId="0" xfId="0" applyNumberFormat="1" applyFont="1" applyFill="1" applyBorder="1"/>
    <x:xf numFmtId="0" fontId="6" fillId="8" borderId="7" xfId="0" applyNumberFormat="1" applyFont="1" applyFill="1" applyBorder="1" applyAlignment="1">
      <x:alignment wrapText="1"/>
    </x:xf>
    <x:xf numFmtId="0" fontId="6" fillId="8" borderId="8" xfId="0" applyNumberFormat="1" applyFont="1" applyFill="1" applyBorder="1" applyAlignment="1">
      <x:alignment wrapText="1"/>
    </x:xf>
    <x:xf numFmtId="0" fontId="6" fillId="8" borderId="9" xfId="0" applyNumberFormat="1" applyFont="1" applyFill="1" applyBorder="1" applyAlignment="1">
      <x:alignment wrapText="1"/>
    </x:xf>
    <x:xf numFmtId="0" fontId="0" fillId="10" borderId="10" xfId="0" applyNumberFormat="1" applyFont="1" applyFill="1" applyBorder="1"/>
    <x:xf numFmtId="0" fontId="0" fillId="10" borderId="11" xfId="0" applyNumberFormat="1" applyFont="1" applyFill="1" applyBorder="1"/>
    <x:xf numFmtId="0" fontId="0" fillId="11" borderId="11" xfId="0" applyNumberFormat="1" applyFont="1" applyFill="1" applyBorder="1"/>
    <x:xf numFmtId="0" fontId="0" fillId="12" borderId="12" xfId="0" applyNumberFormat="1" applyFont="1" applyFill="1" applyBorder="1"/>
    <x:xf numFmtId="0" fontId="0" fillId="10" borderId="13" xfId="0" applyNumberFormat="1" applyFont="1" applyFill="1" applyBorder="1"/>
    <x:xf numFmtId="0" fontId="0" fillId="10" borderId="14" xfId="0" applyNumberFormat="1" applyFont="1" applyFill="1" applyBorder="1"/>
    <x:xf numFmtId="0" fontId="0" fillId="11" borderId="14" xfId="0" applyNumberFormat="1" applyFont="1" applyFill="1" applyBorder="1"/>
    <x:xf numFmtId="0" fontId="0" fillId="12" borderId="15" xfId="0" applyNumberFormat="1" applyFont="1" applyFill="1" applyBorder="1"/>
    <x:xf numFmtId="0" fontId="0" fillId="10" borderId="10" xfId="0" applyNumberFormat="1" applyFont="1" applyFill="1" applyBorder="1" applyAlignment="1">
      <x:alignment vertical="top"/>
    </x:xf>
    <x:xf numFmtId="0" fontId="0" fillId="10" borderId="11" xfId="0" applyNumberFormat="1" applyFont="1" applyFill="1" applyBorder="1" applyAlignment="1">
      <x:alignment vertical="top"/>
    </x:xf>
    <x:xf numFmtId="0" fontId="0" fillId="11" borderId="11" xfId="0" applyNumberFormat="1" applyFont="1" applyFill="1" applyBorder="1" applyAlignment="1">
      <x:alignment vertical="top"/>
    </x:xf>
    <x:xf numFmtId="0" fontId="0" fillId="12" borderId="12" xfId="0" applyNumberFormat="1" applyFont="1" applyFill="1" applyBorder="1" applyAlignment="1">
      <x:alignment vertical="top"/>
    </x:xf>
    <x:xf numFmtId="0" fontId="0" fillId="10" borderId="13" xfId="0" applyNumberFormat="1" applyFont="1" applyFill="1" applyBorder="1" applyAlignment="1">
      <x:alignment vertical="top"/>
    </x:xf>
    <x:xf numFmtId="0" fontId="0" fillId="10" borderId="14" xfId="0" applyNumberFormat="1" applyFont="1" applyFill="1" applyBorder="1" applyAlignment="1">
      <x:alignment vertical="top"/>
    </x:xf>
    <x:xf numFmtId="0" fontId="0" fillId="11" borderId="14" xfId="0" applyNumberFormat="1" applyFont="1" applyFill="1" applyBorder="1" applyAlignment="1">
      <x:alignment vertical="top"/>
    </x:xf>
    <x:xf numFmtId="0" fontId="0" fillId="12" borderId="15" xfId="0" applyNumberFormat="1" applyFont="1" applyFill="1" applyBorder="1" applyAlignment="1">
      <x:alignment vertical="top"/>
    </x:xf>
    <x:xf numFmtId="0" fontId="0" fillId="10" borderId="11" xfId="0" applyNumberFormat="1" applyFont="1" applyFill="1" applyBorder="1" applyAlignment="1">
      <x:alignment vertical="top" wrapText="1"/>
    </x:xf>
    <x:xf numFmtId="0" fontId="0" fillId="10" borderId="14" xfId="0" applyNumberFormat="1" applyFont="1" applyFill="1" applyBorder="1" applyAlignment="1">
      <x:alignment vertical="top" wrapText="1"/>
    </x:xf>
    <x:xf numFmtId="0" fontId="0" fillId="11" borderId="11" xfId="0" applyNumberFormat="1" applyFont="1" applyFill="1" applyBorder="1" applyAlignment="1">
      <x:alignment vertical="top" wrapText="1"/>
    </x:xf>
    <x:xf numFmtId="0" fontId="0" fillId="11" borderId="14" xfId="0" applyNumberFormat="1" applyFont="1" applyFill="1" applyBorder="1" applyAlignment="1">
      <x:alignment vertical="top" wrapText="1"/>
    </x:xf>
    <x:xf numFmtId="0" fontId="0" fillId="13" borderId="0" xfId="0" applyNumberFormat="1" applyFont="1" applyFill="1" applyBorder="1"/>
    <x:xf numFmtId="0" fontId="7" fillId="13" borderId="0" xfId="0" applyNumberFormat="1" applyFont="1" applyFill="1" applyBorder="1"/>
    <x:xf numFmtId="0" fontId="7" fillId="13" borderId="0" xfId="0" applyNumberFormat="1" applyFont="1" applyFill="1" applyBorder="1" applyAlignment="1">
      <x:alignment vertical="center"/>
    </x:xf>
    <x:xf numFmtId="0" fontId="0" fillId="14" borderId="0" xfId="0" applyNumberFormat="1" applyFont="1" applyFill="1" applyBorder="1"/>
    <x:xf numFmtId="0" fontId="8" fillId="14" borderId="0" xfId="0" applyNumberFormat="1" applyFont="1" applyFill="1" applyBorder="1"/>
    <x:xf numFmtId="0" fontId="8" fillId="14" borderId="0" xfId="0" applyNumberFormat="1" applyFont="1" applyFill="1" applyBorder="1" applyAlignment="1">
      <x:alignment wrapText="1"/>
    </x:xf>
    <x:xf numFmtId="0" fontId="0" fillId="15" borderId="0" xfId="0" applyNumberFormat="1" applyFont="1" applyFill="1" applyBorder="1"/>
    <x:xf numFmtId="0" fontId="6" fillId="15" borderId="0" xfId="0" applyNumberFormat="1" applyFont="1" applyFill="1" applyBorder="1"/>
    <x:xf numFmtId="0" fontId="6" fillId="15" borderId="0" xfId="0" applyNumberFormat="1" applyFont="1" applyFill="1" applyBorder="1" applyAlignment="1">
      <x:alignment wrapText="1"/>
    </x:xf>
    <x:xf numFmtId="0" fontId="6" fillId="15" borderId="0" xfId="0" applyNumberFormat="1" applyFont="1" applyFill="1" applyBorder="1" applyAlignment="1">
      <x:alignment vertical="center" wrapText="1"/>
    </x:xf>
    <x:xf numFmtId="0" fontId="0" fillId="16" borderId="0" xfId="0" applyNumberFormat="1" applyFont="1" applyFill="1" applyBorder="1"/>
    <x:xf numFmtId="0" fontId="0" fillId="17" borderId="0" xfId="0" applyNumberFormat="1" applyFont="1" applyFill="1" applyBorder="1"/>
    <x:xf numFmtId="0" fontId="0" fillId="18" borderId="0" xfId="0" applyNumberFormat="1" applyFont="1" applyFill="1" applyBorder="1"/>
    <x:xf numFmtId="0" fontId="0" fillId="19" borderId="0" xfId="0" applyNumberFormat="1" applyFont="1" applyFill="1" applyBorder="1"/>
    <x:xf numFmtId="0" fontId="6" fillId="15" borderId="16" xfId="0" applyNumberFormat="1" applyFont="1" applyFill="1" applyBorder="1" applyAlignment="1">
      <x:alignment vertical="center" wrapText="1"/>
    </x:xf>
    <x:xf numFmtId="0" fontId="0" fillId="16" borderId="16" xfId="0" applyNumberFormat="1" applyFont="1" applyFill="1" applyBorder="1"/>
    <x:xf numFmtId="0" fontId="0" fillId="17" borderId="16" xfId="0" applyNumberFormat="1" applyFont="1" applyFill="1" applyBorder="1"/>
    <x:xf numFmtId="0" fontId="0" fillId="18" borderId="16" xfId="0" applyNumberFormat="1" applyFont="1" applyFill="1" applyBorder="1"/>
    <x:xf numFmtId="0" fontId="0" fillId="19" borderId="16" xfId="0" applyNumberFormat="1" applyFont="1" applyFill="1" applyBorder="1"/>
    <x:xf numFmtId="0" fontId="6" fillId="15" borderId="16" xfId="0" applyNumberFormat="1" applyFont="1" applyFill="1" applyBorder="1" applyAlignment="1">
      <x:alignment vertical="top" wrapText="1"/>
    </x:xf>
    <x:xf numFmtId="0" fontId="0" fillId="16" borderId="16" xfId="0" applyNumberFormat="1" applyFont="1" applyFill="1" applyBorder="1" applyAlignment="1">
      <x:alignment vertical="top"/>
    </x:xf>
    <x:xf numFmtId="0" fontId="0" fillId="17" borderId="16" xfId="0" applyNumberFormat="1" applyFont="1" applyFill="1" applyBorder="1" applyAlignment="1">
      <x:alignment vertical="top"/>
    </x:xf>
    <x:xf numFmtId="0" fontId="0" fillId="18" borderId="16" xfId="0" applyNumberFormat="1" applyFont="1" applyFill="1" applyBorder="1" applyAlignment="1">
      <x:alignment vertical="top"/>
    </x:xf>
    <x:xf numFmtId="0" fontId="0" fillId="19" borderId="16" xfId="0" applyNumberFormat="1" applyFont="1" applyFill="1" applyBorder="1" applyAlignment="1">
      <x:alignment vertical="top"/>
    </x:xf>
    <x:xf numFmtId="0" fontId="0" fillId="16" borderId="16" xfId="0" applyNumberFormat="1" applyFont="1" applyFill="1" applyBorder="1" applyAlignment="1">
      <x:alignment vertical="top" wrapText="1"/>
    </x:xf>
    <x:xf numFmtId="0" fontId="0" fillId="17" borderId="16" xfId="0" applyNumberFormat="1" applyFont="1" applyFill="1" applyBorder="1" applyAlignment="1">
      <x:alignment vertical="top" wrapText="1"/>
    </x:xf>
    <x:xf numFmtId="0" fontId="0" fillId="18" borderId="16" xfId="0" applyNumberFormat="1" applyFont="1" applyFill="1" applyBorder="1" applyAlignment="1">
      <x:alignment vertical="top" wrapText="1"/>
    </x:xf>
    <x:xf numFmtId="0" fontId="0" fillId="19" borderId="16" xfId="0" applyNumberFormat="1" applyFont="1" applyFill="1" applyBorder="1" applyAlignment="1">
      <x:alignment vertical="top" wrapText="1"/>
    </x:xf>
    <x:xf numFmtId="0" fontId="0" fillId="14" borderId="0" xfId="0" applyNumberFormat="1" applyFont="1" applyFill="1" applyBorder="1" applyAlignment="1">
      <x:alignment wrapText="1"/>
    </x:xf>
    <x:xf numFmtId="0" fontId="0" fillId="14" borderId="0" xfId="0" applyNumberFormat="1" applyFont="1" applyFill="1" applyBorder="1" applyAlignment="1">
      <x:alignment vertical="top" wrapText="1"/>
    </x:xf>
    <x:xf numFmtId="0" fontId="0" fillId="20" borderId="0" xfId="0" applyNumberFormat="1" applyFont="1" applyFill="1" applyBorder="1"/>
    <x:xf numFmtId="0" fontId="9" fillId="20" borderId="0" xfId="0" applyNumberFormat="1" applyFont="1" applyFill="1" applyBorder="1"/>
    <x:xf numFmtId="0" fontId="9" fillId="20" borderId="0" xfId="0" applyNumberFormat="1" applyFont="1" applyFill="1" applyBorder="1" applyAlignment="1">
      <x:alignment wrapText="1"/>
    </x:xf>
    <x:xf numFmtId="0" fontId="9" fillId="20" borderId="0" xfId="0" applyNumberFormat="1" applyFont="1" applyFill="1" applyBorder="1" applyAlignment="1">
      <x:alignment vertical="top" wrapText="1"/>
    </x:xf>
    <x:xf numFmtId="0" fontId="9" fillId="21" borderId="0" xfId="0" applyNumberFormat="1" applyFont="1" applyFill="1" applyBorder="1" applyAlignment="1">
      <x:alignment vertical="top" wrapText="1"/>
    </x:xf>
    <x:xf numFmtId="0" fontId="0" fillId="22" borderId="0" xfId="0" applyNumberFormat="1" applyFont="1" applyFill="1" applyBorder="1"/>
    <x:xf numFmtId="0" fontId="6" fillId="22" borderId="0" xfId="0" applyNumberFormat="1" applyFont="1" applyFill="1" applyBorder="1"/>
    <x:xf numFmtId="0" fontId="0" fillId="0" borderId="16" xfId="0" applyNumberFormat="1" applyFont="1" applyFill="1" applyBorder="1"/>
    <x:xf numFmtId="0" fontId="0" fillId="23" borderId="16"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a16e1739b454580" /><Relationship Type="http://schemas.openxmlformats.org/officeDocument/2006/relationships/theme" Target="/xl/theme/theme1.xml" Id="Ra58f07089d7b4a1e" /><Relationship Type="http://schemas.openxmlformats.org/officeDocument/2006/relationships/sharedStrings" Target="/xl/sharedStrings.xml" Id="R748dec177aed4901" /><Relationship Type="http://schemas.openxmlformats.org/officeDocument/2006/relationships/worksheet" Target="/xl/worksheets/sheet1.xml" Id="Raf27dfe3d26c4002" /><Relationship Type="http://schemas.openxmlformats.org/officeDocument/2006/relationships/worksheet" Target="/xl/worksheets/sheet2.xml" Id="Rae87205c6e3e4b83" /><Relationship Type="http://schemas.openxmlformats.org/officeDocument/2006/relationships/worksheet" Target="/xl/worksheets/sheet3.xml" Id="R135efa5a741e4ca3" /><Relationship Type="http://schemas.openxmlformats.org/officeDocument/2006/relationships/worksheet" Target="/xl/worksheets/sheet4.xml" Id="Rc616b5b696624cda" /><Relationship Type="http://schemas.openxmlformats.org/officeDocument/2006/relationships/worksheet" Target="/xl/worksheets/sheet5.xml" Id="R88655cb45e594f8b" /><Relationship Type="http://schemas.openxmlformats.org/officeDocument/2006/relationships/worksheet" Target="/xl/worksheets/sheet6.xml" Id="Rcd07fabf29ec4c1a" /><Relationship Type="http://schemas.openxmlformats.org/officeDocument/2006/relationships/worksheet" Target="/xl/worksheets/sheet7.xml" Id="Rac15a014a1a645b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2" hidden="0" customWidth="1"/>
  </x:cols>
  <x:sheetData>
    <x:row r="1" ht="30" customHeight="1">
      <x:c r="A1" s="3" t="str">
        <x:v>E5 Hard-Disagreement Review</x:v>
      </x:c>
      <x:c r="B1" s="3"/>
      <x:c r="C1" s="3"/>
      <x:c r="D1" s="3"/>
      <x:c r="E1" s="3"/>
      <x:c r="F1" s="3"/>
      <x:c r="G1" s="3"/>
      <x:c r="H1" s="3"/>
    </x:row>
    <x:row r="3" ht="42" customHeight="1">
      <x:c r="A3" s="6" t="str">
        <x:v>Purpose: diagnose the 48 substantive include/exclude disagreements from the frozen v1 pilot. This is development analysis, not independent validation.</x:v>
      </x:c>
      <x:c r="B3" s="6"/>
      <x:c r="C3" s="6"/>
      <x:c r="D3" s="6"/>
      <x:c r="E3" s="6"/>
      <x:c r="F3" s="6"/>
      <x:c r="G3" s="6"/>
      <x:c r="H3" s="6"/>
    </x:row>
    <x:row r="5" ht="52" customHeight="1">
      <x:c r="A5" s="13" t="str">
        <x:v>Required review order</x:v>
      </x:c>
      <x:c r="B5" s="14" t="str">
        <x:v>1. Open Article Text. 2. Complete Independent Review without viewing the original human or LLM answers. 3. Mark the independent row complete. 4. Open Review and diagnose why the three judgements differ. 5. Use Summary only after all rows are coded.</x:v>
      </x:c>
    </x:row>
    <x:row r="6" ht="52" customHeight="1">
      <x:c r="A6" s="15" t="str">
        <x:v>Preserve source decisions</x:v>
      </x:c>
      <x:c r="B6" s="16" t="str">
        <x:v>Do not overwrite human_decision, human_reason_code, llm_decision, or llm_reason_code. If the original human label may be wrong, set human_label_review=yes and explain why.</x:v>
      </x:c>
    </x:row>
    <x:row r="7" ht="52" customHeight="1">
      <x:c r="A7" s="15" t="str">
        <x:v>Input limitation</x:v>
      </x:c>
      <x:c r="B7" s="16" t="str">
        <x:v>Use input_issue to distinguish evidence outside the v1 excerpt, missing query or ward context, and incomplete text from a genuine criteria disagreement.</x:v>
      </x:c>
    </x:row>
    <x:row r="8" ht="52" customHeight="1">
      <x:c r="A8" s="15" t="str">
        <x:v>E5 arm rule</x:v>
      </x:c>
      <x:c r="B8" s="16" t="str">
        <x:v>Local records use only L1-L4. National records use only N1-N3. A code from the other arm is not a valid basis for inclusion.</x:v>
      </x:c>
    </x:row>
    <x:row r="9" ht="52" customHeight="1">
      <x:c r="A9" s="15" t="str">
        <x:v>Evidence</x:v>
      </x:c>
      <x:c r="B9" s="16" t="str">
        <x:v>review_evidence should contain the shortest exact passage that supports the independent reassessment. Do not invent or paraphrase a quotation.</x:v>
      </x:c>
    </x:row>
    <x:row r="10" ht="52" customHeight="1">
      <x:c r="A10" s="15" t="str">
        <x:v>Completion rule</x:v>
      </x:c>
      <x:c r="B10" s="16" t="str">
        <x:v>Independent Review checks the reassessment first. Review then checks the diagnosis fields. A completed row with missing required information is flagged mechanically.</x:v>
      </x:c>
    </x:row>
    <x:row r="11" ht="52" customHeight="1">
      <x:c r="A11" s="17" t="str">
        <x:v>Interpretation limit</x:v>
      </x:c>
      <x:c r="B11" s="18" t="str">
        <x:v>Counts in Summary describe the development-set diagnosis only. They must not be reported as validation performance or used to authorise classification of the remaining corpus.</x:v>
      </x:c>
    </x:row>
    <x:row r="12">
      <x:c r="A12" s="121" t="str">
        <x:v>Geographic linkage</x:v>
      </x:c>
      <x:c r="B12" s="121" t="str">
        <x:v>For the 28 local hard disagreements, use Geographic Linkage before final diagnosis. Automated candidates only locate possible evidence; confirm the sampled division/place and quote an exact sentence, or record why the linkage remains unresolved.</x:v>
      </x:c>
    </x:row>
    <x:row r="13">
      <x:c r="A13" s="126" t="str">
        <x:v>Draft provenance</x:v>
      </x:c>
      <x:c r="B13" s="126" t="str">
        <x:v>Rows populated on 2026-07-24 are AI-assisted development judgements prepared from the stored full text and codebook. They support prompt diagnosis only and must not be described as independent human blind coding or formal validation.</x:v>
      </x:c>
    </x:row>
  </x:sheetData>
  <x:mergeCells>
    <x:mergeCell ref="A1:H1"/>
    <x:mergeCell ref="A3:H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6" hidden="0" customWidth="1"/>
    <x:col min="3" max="3" width="31" hidden="0" customWidth="1"/>
    <x:col min="4" max="4" width="16" hidden="0" customWidth="1"/>
    <x:col min="5" max="5" width="16" hidden="0" customWidth="1"/>
    <x:col min="6" max="6" width="16" hidden="0" customWidth="1"/>
    <x:col min="7" max="7" width="42" hidden="0" customWidth="1"/>
    <x:col min="8" max="8" width="16" hidden="0" customWidth="1"/>
    <x:col min="9" max="9" width="16" hidden="0" customWidth="1"/>
    <x:col min="10" max="10" width="32" hidden="0" customWidth="1"/>
    <x:col min="11" max="11" width="19" hidden="0" customWidth="1"/>
    <x:col min="12" max="12" width="19" hidden="0" customWidth="1"/>
    <x:col min="13" max="13" width="19" hidden="0" customWidth="1"/>
    <x:col min="14" max="14" width="19" hidden="0" customWidth="1"/>
    <x:col min="15" max="15" width="48" hidden="0" customWidth="1"/>
    <x:col min="16" max="16" width="19" hidden="0" customWidth="1"/>
    <x:col min="17" max="17" width="19" hidden="0" customWidth="1"/>
    <x:col min="18" max="18" width="48" hidden="0" customWidth="1"/>
    <x:col min="19" max="19" width="21" hidden="0" customWidth="1"/>
    <x:col min="20" max="20" width="21" hidden="0" customWidth="1"/>
    <x:col min="21" max="21" width="21" hidden="0" customWidth="1"/>
    <x:col min="22" max="22" width="21"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48" hidden="0" customWidth="1"/>
    <x:col min="31" max="31" width="48" hidden="0" customWidth="1"/>
    <x:col min="32" max="32" width="22" hidden="0" customWidth="1"/>
    <x:col min="33" max="33" width="22" hidden="0" customWidth="1"/>
    <x:col min="34" max="34" width="22" hidden="0" customWidth="1"/>
  </x:cols>
  <x:sheetData>
    <x:row r="1">
      <x:c r="A1" s="19" t="str">
        <x:v>E5 Hard-Disagreement Review — 48 development cases</x:v>
      </x:c>
      <x:c r="B1" s="19"/>
      <x:c r="C1" s="19"/>
      <x:c r="D1" s="19"/>
      <x:c r="E1" s="19"/>
      <x:c r="F1" s="19"/>
      <x:c r="G1" s="19"/>
      <x:c r="H1" s="19"/>
      <x:c r="I1" s="19"/>
      <x:c r="J1" s="19"/>
      <x:c r="K1" s="19"/>
      <x:c r="L1" s="19"/>
      <x:c r="M1" s="19"/>
      <x:c r="N1" s="19"/>
      <x:c r="O1" s="19"/>
      <x:c r="P1" s="19"/>
      <x:c r="Q1" s="19"/>
      <x:c r="R1" s="19"/>
      <x:c r="S1" s="19"/>
      <x:c r="T1" s="19"/>
      <x:c r="U1" s="19"/>
      <x:c r="V1" s="19"/>
      <x:c r="W1" s="19"/>
      <x:c r="X1" s="19"/>
      <x:c r="Y1" s="19"/>
      <x:c r="Z1" s="19"/>
      <x:c r="AA1" s="19"/>
      <x:c r="AB1" s="19"/>
      <x:c r="AC1" s="19"/>
      <x:c r="AD1" s="19"/>
      <x:c r="AE1" s="19"/>
      <x:c r="AF1" s="19"/>
      <x:c r="AG1" s="19"/>
      <x:c r="AH1" s="19"/>
    </x:row>
    <x:row r="2">
      <x:c r="A2" s="21" t="str">
        <x:v>Blue/grey columns are preserved source information. Amber columns are for human diagnosis. Mark complete only after reading the full article and recording exact review evidence.</x:v>
      </x:c>
      <x:c r="B2" s="21"/>
      <x:c r="C2" s="21"/>
      <x:c r="D2" s="21"/>
      <x:c r="E2" s="21"/>
      <x:c r="F2" s="21"/>
      <x:c r="G2" s="21"/>
      <x:c r="H2" s="21"/>
      <x:c r="I2" s="21"/>
      <x:c r="J2" s="21"/>
      <x:c r="K2" s="21"/>
      <x:c r="L2" s="21"/>
      <x:c r="M2" s="21"/>
      <x:c r="N2" s="21"/>
      <x:c r="O2" s="21"/>
      <x:c r="P2" s="21"/>
      <x:c r="Q2" s="21"/>
      <x:c r="R2" s="21"/>
      <x:c r="S2" s="21"/>
      <x:c r="T2" s="21"/>
      <x:c r="U2" s="21"/>
      <x:c r="V2" s="21"/>
      <x:c r="W2" s="21"/>
      <x:c r="X2" s="21"/>
      <x:c r="Y2" s="21"/>
      <x:c r="Z2" s="21"/>
      <x:c r="AA2" s="21"/>
      <x:c r="AB2" s="21"/>
      <x:c r="AC2" s="21"/>
      <x:c r="AD2" s="21"/>
      <x:c r="AE2" s="21"/>
      <x:c r="AF2" s="21"/>
      <x:c r="AG2" s="21"/>
      <x:c r="AH2" s="21"/>
    </x:row>
    <x:row r="5" ht="42" customHeight="1">
      <x:c r="A5" s="28" t="str">
        <x:v>review_index</x:v>
      </x:c>
      <x:c r="B5" s="29" t="str">
        <x:v>review_status</x:v>
      </x:c>
      <x:c r="C5" s="29" t="str">
        <x:v>article_id</x:v>
      </x:c>
      <x:c r="D5" s="29" t="str">
        <x:v>election_id</x:v>
      </x:c>
      <x:c r="E5" s="29" t="str">
        <x:v>arm</x:v>
      </x:c>
      <x:c r="F5" s="29" t="str">
        <x:v>source_id</x:v>
      </x:c>
      <x:c r="G5" s="29" t="str">
        <x:v>headline</x:v>
      </x:c>
      <x:c r="H5" s="29" t="str">
        <x:v>published_date</x:v>
      </x:c>
      <x:c r="I5" s="29" t="str">
        <x:v>ward</x:v>
      </x:c>
      <x:c r="J5" s="29" t="str">
        <x:v>query_text</x:v>
      </x:c>
      <x:c r="K5" s="29" t="str">
        <x:v>query_context_missing</x:v>
      </x:c>
      <x:c r="L5" s="29" t="str">
        <x:v>ward_context_missing</x:v>
      </x:c>
      <x:c r="M5" s="29" t="str">
        <x:v>human_decision</x:v>
      </x:c>
      <x:c r="N5" s="29" t="str">
        <x:v>human_reason_code</x:v>
      </x:c>
      <x:c r="O5" s="29" t="str">
        <x:v>human_supporting_text</x:v>
      </x:c>
      <x:c r="P5" s="29" t="str">
        <x:v>llm_decision</x:v>
      </x:c>
      <x:c r="Q5" s="29" t="str">
        <x:v>llm_reason_code</x:v>
      </x:c>
      <x:c r="R5" s="29" t="str">
        <x:v>llm_supporting_text</x:v>
      </x:c>
      <x:c r="S5" s="29" t="str">
        <x:v>llm_evidence_missing</x:v>
      </x:c>
      <x:c r="T5" s="29" t="str">
        <x:v>direction</x:v>
      </x:c>
      <x:c r="U5" s="29" t="str">
        <x:v>human_evidence_location</x:v>
      </x:c>
      <x:c r="V5" s="29" t="str">
        <x:v>excerpt_truncated</x:v>
      </x:c>
      <x:c r="W5" s="29" t="str">
        <x:v>independent_reassessment</x:v>
      </x:c>
      <x:c r="X5" s="29" t="str">
        <x:v>rule_at_issue</x:v>
      </x:c>
      <x:c r="Y5" s="29" t="str">
        <x:v>input_issue</x:v>
      </x:c>
      <x:c r="Z5" s="29" t="str">
        <x:v>error_mechanism</x:v>
      </x:c>
      <x:c r="AA5" s="29" t="str">
        <x:v>human_label_review</x:v>
      </x:c>
      <x:c r="AB5" s="29" t="str">
        <x:v>recommended_action</x:v>
      </x:c>
      <x:c r="AC5" s="29" t="str">
        <x:v>few_shot_candidate</x:v>
      </x:c>
      <x:c r="AD5" s="29" t="str">
        <x:v>review_evidence</x:v>
      </x:c>
      <x:c r="AE5" s="29" t="str">
        <x:v>review_notes</x:v>
      </x:c>
      <x:c r="AF5" s="29" t="str">
        <x:v>reviewer_id</x:v>
      </x:c>
      <x:c r="AG5" s="29" t="str">
        <x:v>reviewed_at</x:v>
      </x:c>
      <x:c r="AH5" s="30" t="str">
        <x:v>qc_flag</x:v>
      </x:c>
    </x:row>
    <x:row r="6" ht="70" customHeight="1">
      <x:c r="A6" s="39" t="n">
        <x:v>1</x:v>
      </x:c>
      <x:c r="B6" s="40" t="str">
        <x:v>needs_adjudication</x:v>
      </x:c>
      <x:c r="C6" s="40" t="str">
        <x:v>NEWS-bbc_surrey-26a6658188d3</x:v>
      </x:c>
      <x:c r="D6" s="40" t="str">
        <x:v>SCC-2017-05</x:v>
      </x:c>
      <x:c r="E6" s="40" t="str">
        <x:v>local</x:v>
      </x:c>
      <x:c r="F6" s="40" t="str">
        <x:v>bbc_surrey</x:v>
      </x:c>
      <x:c r="G6" s="47" t="str">
        <x:v>Meningitis kills Surrey University student</x:v>
      </x:c>
      <x:c r="H6" s="40" t="str">
        <x:v>2017-04-28</x:v>
      </x:c>
      <x:c r="I6" s="40" t="str"/>
      <x:c r="J6" s="47" t="str"/>
      <x:c r="K6" s="40" t="str">
        <x:v>yes</x:v>
      </x:c>
      <x:c r="L6" s="40" t="str">
        <x:v>yes</x:v>
      </x:c>
      <x:c r="M6" s="40" t="str">
        <x:v>include</x:v>
      </x:c>
      <x:c r="N6" s="40" t="str">
        <x:v>E5-L1-PLACE</x:v>
      </x:c>
      <x:c r="O6" s="47" t="str">
        <x:v>The first year student at the University of Surrey died while returning from a sports trip to Italy.</x:v>
      </x:c>
      <x:c r="P6" s="47" t="str">
        <x:v>exclude</x:v>
      </x:c>
      <x:c r="Q6" s="47" t="str">
        <x:v>E5-NO-L-OR-N-RULE-MET</x:v>
      </x:c>
      <x:c r="R6" s="47" t="str">
        <x:v>A student has died from meningitis and another two are recovering, prompting a university to offer undergraduates a vaccination.</x:v>
      </x:c>
      <x:c r="S6" s="40" t="str">
        <x:v>no</x:v>
      </x:c>
      <x:c r="T6" s="40" t="str">
        <x:v>human_include__llm_exclude</x:v>
      </x:c>
      <x:c r="U6" s="40" t="str">
        <x:v>in_v1_excerpt</x:v>
      </x:c>
      <x:c r="V6" s="40" t="str">
        <x:v>True</x:v>
      </x:c>
      <x:c r="W6" s="41" t="str">
        <x:v>needs_second_review</x:v>
      </x:c>
      <x:c r="X6" s="41" t="str">
        <x:v>L1</x:v>
      </x:c>
      <x:c r="Y6" s="41" t="str">
        <x:v>missing_query_context</x:v>
      </x:c>
      <x:c r="Z6" s="41" t="str">
        <x:v>codebook_boundary_unclear</x:v>
      </x:c>
      <x:c r="AA6" s="41" t="str">
        <x:v>yes</x:v>
      </x:c>
      <x:c r="AB6" s="41" t="str">
        <x:v>multiple</x:v>
      </x:c>
      <x:c r="AC6" s="41" t="str">
        <x:v>no</x:v>
      </x:c>
      <x:c r="AD6" s="49" t="str">
        <x:v>The first year student at the University of Surrey died while returning from a sports trip to Italy.</x:v>
      </x:c>
      <x:c r="AE6" s="49" t="str">
        <x:v>The university is substantively central to the article, but the record does not establish that its campus falls within one of the 17 sampled divisions. Confirm the sampled-area linkage before treating the Surrey name as sufficient L1 evidence.</x:v>
      </x:c>
      <x:c r="AF6" s="41" t="str">
        <x:v>AI-assisted development draft (researcher verification required)</x:v>
      </x:c>
      <x:c r="AG6" s="41" t="str">
        <x:v>2026-07-24</x:v>
      </x:c>
      <x:c r="AH6" s="42" t="str">
        <x:f>IF(B6&lt;&gt;"complete","",IF(OR(W6="",X6="",Y6="",Z6="",AA6="",AB6="",AD6="",AF6="",AG6=""),"MISSING REQUIRED FIELD","OK"))</x:f>
      </x:c>
    </x:row>
    <x:row r="7" ht="70" customHeight="1">
      <x:c r="A7" s="39" t="n">
        <x:v>2</x:v>
      </x:c>
      <x:c r="B7" s="40" t="str">
        <x:v>complete</x:v>
      </x:c>
      <x:c r="C7" s="40" t="str">
        <x:v>NEWS-guardian_api-07bc83a03221</x:v>
      </x:c>
      <x:c r="D7" s="40" t="str">
        <x:v>ESWS-2026-05</x:v>
      </x:c>
      <x:c r="E7" s="40" t="str">
        <x:v>local</x:v>
      </x:c>
      <x:c r="F7" s="40" t="str">
        <x:v>guardian_api</x:v>
      </x:c>
      <x:c r="G7" s="47" t="str">
        <x:v>Starmer tells Labour MPs he is ‘not prepared to walk away’ after call for him to resign – as it happened </x:v>
      </x:c>
      <x:c r="H7" s="40" t="str">
        <x:v>2026-02-09</x:v>
      </x:c>
      <x:c r="I7" s="40" t="str"/>
      <x:c r="J7" s="47" t="str">
        <x:v>"Reform UK" AND Surrey</x:v>
      </x:c>
      <x:c r="K7" s="40" t="str">
        <x:v>no</x:v>
      </x:c>
      <x:c r="L7" s="40" t="str">
        <x:v>yes</x:v>
      </x:c>
      <x:c r="M7" s="40" t="str">
        <x:v>exclude</x:v>
      </x:c>
      <x:c r="N7" s="40" t="str">
        <x:v>E5-NO-L-OR-N-RULE-MET</x:v>
      </x:c>
      <x:c r="O7" s="47" t="str">
        <x:v>Keir Starmer has faced down immediate calls for his resignation after receiving the full backing of his cabinet and delivering an impassioned appeal to the PLP this evening that appears to have steadied the government’s ship, at least for now.</x:v>
      </x:c>
      <x:c r="P7" s="47" t="str">
        <x:v>include</x:v>
      </x:c>
      <x:c r="Q7" s="47" t="str">
        <x:v>E5-N1-PARTY-POLITICS</x:v>
      </x:c>
      <x:c r="R7" s="47" t="str">
        <x:v>But despite an intervention from Scottish Labour leader Anas Sarwar and calls from most opposition leaders for him to go, Starmer appears to have done just enough</x:v>
      </x:c>
      <x:c r="S7" s="40" t="str">
        <x:v>no</x:v>
      </x:c>
      <x:c r="T7" s="40" t="str">
        <x:v>human_exclude__llm_include</x:v>
      </x:c>
      <x:c r="U7" s="40" t="str">
        <x:v>in_v1_excerpt</x:v>
      </x:c>
      <x:c r="V7" s="40" t="str">
        <x:v>True</x:v>
      </x:c>
      <x:c r="W7" s="41" t="str">
        <x:v>exclude</x:v>
      </x:c>
      <x:c r="X7" s="41" t="str">
        <x:v>N1</x:v>
      </x:c>
      <x:c r="Y7" s="41" t="str">
        <x:v>none</x:v>
      </x:c>
      <x:c r="Z7" s="41" t="str">
        <x:v>wrong_arm_rule</x:v>
      </x:c>
      <x:c r="AA7" s="41" t="str">
        <x:v>no</x:v>
      </x:c>
      <x:c r="AB7" s="41" t="str">
        <x:v>decision_tree_change</x:v>
      </x:c>
      <x:c r="AC7" s="41" t="str">
        <x:v>yes</x:v>
      </x:c>
      <x:c r="AD7" s="49" t="str">
        <x:v>Keir Starmer has faced down immediate calls for his resignation after receiving the full backing of his cabinet and delivering an impassioned appeal to the PLP this evening that appears to have steadied the government’s ship, at least for now.</x:v>
      </x:c>
      <x:c r="AE7" s="49" t="str">
        <x:v>The article is UK national leadership coverage and would satisfy N1 in the national arm, but this record is fixed to the local arm and supplies no Surrey L1-L4 link.</x:v>
      </x:c>
      <x:c r="AF7" s="41" t="str">
        <x:v>AI-assisted development draft (researcher verification required)</x:v>
      </x:c>
      <x:c r="AG7" s="41" t="str">
        <x:v>2026-07-24</x:v>
      </x:c>
      <x:c r="AH7" s="42" t="str">
        <x:f>IF(B7&lt;&gt;"complete","",IF(OR(W7="",X7="",Y7="",Z7="",AA7="",AB7="",AD7="",AF7="",AG7=""),"MISSING REQUIRED FIELD","OK"))</x:f>
        <x:v>OK</x:v>
      </x:c>
    </x:row>
    <x:row r="8" ht="70" customHeight="1">
      <x:c r="A8" s="39" t="n">
        <x:v>3</x:v>
      </x:c>
      <x:c r="B8" s="40" t="str">
        <x:v>complete</x:v>
      </x:c>
      <x:c r="C8" s="40" t="str">
        <x:v>NEWS-guardian_api-0a2b7642ed1f</x:v>
      </x:c>
      <x:c r="D8" s="40" t="str">
        <x:v>ESWS-2026-05</x:v>
      </x:c>
      <x:c r="E8" s="40" t="str">
        <x:v>local</x:v>
      </x:c>
      <x:c r="F8" s="40" t="str">
        <x:v>guardian_api</x:v>
      </x:c>
      <x:c r="G8" s="47" t="str">
        <x:v>Could Lib Dems become the biggest party in English local government?</x:v>
      </x:c>
      <x:c r="H8" s="40" t="str">
        <x:v>2026-04-30</x:v>
      </x:c>
      <x:c r="I8" s="40" t="str"/>
      <x:c r="J8" s="47" t="str">
        <x:v>"Reform UK" AND Surrey</x:v>
      </x:c>
      <x:c r="K8" s="40" t="str">
        <x:v>no</x:v>
      </x:c>
      <x:c r="L8" s="40" t="str">
        <x:v>yes</x:v>
      </x:c>
      <x:c r="M8" s="40" t="str">
        <x:v>exclude</x:v>
      </x:c>
      <x:c r="N8" s="40" t="str">
        <x:v>E5-NO-L-OR-N-RULE-MET</x:v>
      </x:c>
      <x:c r="O8" s="47" t="str">
        <x:v>It has been an election buildup dominated by the rise of Reform UK and the Greens, and the contrasting woes of Labour and the Tories.</x:v>
      </x:c>
      <x:c r="P8" s="47" t="str">
        <x:v>include</x:v>
      </x:c>
      <x:c r="Q8" s="47" t="str">
        <x:v>E5-N1-PARTY-POLITICS</x:v>
      </x:c>
      <x:c r="R8" s="47" t="str">
        <x:v>It has been an election buildup dominated by the rise of Reform UK and the Greens, and the contrasting woes of Labour and the Tories.</x:v>
      </x:c>
      <x:c r="S8" s="40" t="str">
        <x:v>no</x:v>
      </x:c>
      <x:c r="T8" s="40" t="str">
        <x:v>human_exclude__llm_include</x:v>
      </x:c>
      <x:c r="U8" s="40" t="str">
        <x:v>in_v1_excerpt</x:v>
      </x:c>
      <x:c r="V8" s="40" t="str">
        <x:v>True</x:v>
      </x:c>
      <x:c r="W8" s="41" t="str">
        <x:v>exclude</x:v>
      </x:c>
      <x:c r="X8" s="41" t="str">
        <x:v>N1</x:v>
      </x:c>
      <x:c r="Y8" s="41" t="str">
        <x:v>none</x:v>
      </x:c>
      <x:c r="Z8" s="41" t="str">
        <x:v>wrong_arm_rule</x:v>
      </x:c>
      <x:c r="AA8" s="41" t="str">
        <x:v>no</x:v>
      </x:c>
      <x:c r="AB8" s="41" t="str">
        <x:v>decision_tree_change</x:v>
      </x:c>
      <x:c r="AC8" s="41" t="str">
        <x:v>no</x:v>
      </x:c>
      <x:c r="AD8" s="49" t="str">
        <x:v>It has been an election buildup dominated by the rise of Reform UK and the Greens, and the contrasting woes of Labour and the Tories.</x:v>
      </x:c>
      <x:c r="AE8" s="49" t="str">
        <x:v>The article concerns English local-government party performance nationally. It may satisfy N1 in a national search, but it does not satisfy any local L-rule for this local-arm record.</x:v>
      </x:c>
      <x:c r="AF8" s="41" t="str">
        <x:v>AI-assisted development draft (researcher verification required)</x:v>
      </x:c>
      <x:c r="AG8" s="41" t="str">
        <x:v>2026-07-24</x:v>
      </x:c>
      <x:c r="AH8" s="42" t="str">
        <x:f>IF(B8&lt;&gt;"complete","",IF(OR(W8="",X8="",Y8="",Z8="",AA8="",AB8="",AD8="",AF8="",AG8=""),"MISSING REQUIRED FIELD","OK"))</x:f>
        <x:v>OK</x:v>
      </x:c>
    </x:row>
    <x:row r="9" ht="70" customHeight="1">
      <x:c r="A9" s="39" t="n">
        <x:v>4</x:v>
      </x:c>
      <x:c r="B9" s="40" t="str">
        <x:v>complete</x:v>
      </x:c>
      <x:c r="C9" s="40" t="str">
        <x:v>NEWS-guardian_api-0a8a98eec2fa</x:v>
      </x:c>
      <x:c r="D9" s="40" t="str">
        <x:v>SCC-2021-05</x:v>
      </x:c>
      <x:c r="E9" s="40" t="str">
        <x:v>local</x:v>
      </x:c>
      <x:c r="F9" s="40" t="str">
        <x:v>guardian_api</x:v>
      </x:c>
      <x:c r="G9" s="47" t="str">
        <x:v>Funding gap of £643m puts  special needs teaching at risk</x:v>
      </x:c>
      <x:c r="H9" s="40" t="str">
        <x:v>2020-12-05</x:v>
      </x:c>
      <x:c r="I9" s="40" t="str"/>
      <x:c r="J9" s="47" t="str">
        <x:v>Surrey AND (council OR election)</x:v>
      </x:c>
      <x:c r="K9" s="40" t="str">
        <x:v>no</x:v>
      </x:c>
      <x:c r="L9" s="40" t="str">
        <x:v>yes</x:v>
      </x:c>
      <x:c r="M9" s="40" t="str">
        <x:v>exclude</x:v>
      </x:c>
      <x:c r="N9" s="40" t="str">
        <x:v>E5-NO-L-OR-N-RULE-MET</x:v>
      </x:c>
      <x:c r="O9" s="47" t="str">
        <x:v>Almost 90% of English councils overspent on their budgets for teaching children with special needs last year, and the underfunding is set to continue into 2021, according to figures seen by the Observer.</x:v>
      </x:c>
      <x:c r="P9" s="47" t="str">
        <x:v>include</x:v>
      </x:c>
      <x:c r="Q9" s="47" t="str">
        <x:v>E5-L3-COUNCIL-ISSUE</x:v>
      </x:c>
      <x:c r="R9" s="47" t="str">
        <x:v>Of England's 151 upper-tier councils (which excludes district councils) 132 overspent their high needs block (HNB) – the grant that funds Send education – in 2019/20.</x:v>
      </x:c>
      <x:c r="S9" s="40" t="str">
        <x:v>no</x:v>
      </x:c>
      <x:c r="T9" s="40" t="str">
        <x:v>human_exclude__llm_include</x:v>
      </x:c>
      <x:c r="U9" s="40" t="str">
        <x:v>in_v1_excerpt</x:v>
      </x:c>
      <x:c r="V9" s="40" t="str">
        <x:v>True</x:v>
      </x:c>
      <x:c r="W9" s="41" t="str">
        <x:v>exclude</x:v>
      </x:c>
      <x:c r="X9" s="41" t="str">
        <x:v>L3</x:v>
      </x:c>
      <x:c r="Y9" s="41" t="str">
        <x:v>none</x:v>
      </x:c>
      <x:c r="Z9" s="41" t="str">
        <x:v>local_effect_not_established</x:v>
      </x:c>
      <x:c r="AA9" s="41" t="str">
        <x:v>no</x:v>
      </x:c>
      <x:c r="AB9" s="41" t="str">
        <x:v>prompt_clarification</x:v>
      </x:c>
      <x:c r="AC9" s="41" t="str">
        <x:v>yes</x:v>
      </x:c>
      <x:c r="AD9" s="49" t="str">
        <x:v>Almost 90% of English councils overspent on their budgets for teaching children with special needs last year, and the underfunding is set to continue into 2021, according to figures seen by the Observer.</x:v>
      </x:c>
      <x:c r="AE9" s="49" t="str">
        <x:v>The article concerns SEND funding across English councils. A Surrey council quotation is one example in a national comparison and does not establish an effect on a sampled Surrey division.</x:v>
      </x:c>
      <x:c r="AF9" s="41" t="str">
        <x:v>AI-assisted development draft (researcher verification required)</x:v>
      </x:c>
      <x:c r="AG9" s="41" t="str">
        <x:v>2026-07-24</x:v>
      </x:c>
      <x:c r="AH9" s="42" t="str">
        <x:f>IF(B9&lt;&gt;"complete","",IF(OR(W9="",X9="",Y9="",Z9="",AA9="",AB9="",AD9="",AF9="",AG9=""),"MISSING REQUIRED FIELD","OK"))</x:f>
        <x:v>OK</x:v>
      </x:c>
    </x:row>
    <x:row r="10" ht="70" customHeight="1">
      <x:c r="A10" s="39" t="n">
        <x:v>5</x:v>
      </x:c>
      <x:c r="B10" s="40" t="str">
        <x:v>complete</x:v>
      </x:c>
      <x:c r="C10" s="40" t="str">
        <x:v>NEWS-guardian_api-0e7b3e16141a</x:v>
      </x:c>
      <x:c r="D10" s="40" t="str">
        <x:v>ESWS-2026-05</x:v>
      </x:c>
      <x:c r="E10" s="40" t="str">
        <x:v>local</x:v>
      </x:c>
      <x:c r="F10" s="40" t="str">
        <x:v>guardian_api</x:v>
      </x:c>
      <x:c r="G10" s="47" t="str">
        <x:v>UK politics: Government abandons plans to delay 30 local council elections in May – as it happened</x:v>
      </x:c>
      <x:c r="H10" s="40" t="str">
        <x:v>2026-02-16</x:v>
      </x:c>
      <x:c r="I10" s="40" t="str"/>
      <x:c r="J10" s="47" t="str">
        <x:v>"Reform UK" AND Surrey</x:v>
      </x:c>
      <x:c r="K10" s="40" t="str">
        <x:v>no</x:v>
      </x:c>
      <x:c r="L10" s="40" t="str">
        <x:v>yes</x:v>
      </x:c>
      <x:c r="M10" s="40" t="str">
        <x:v>exclude</x:v>
      </x:c>
      <x:c r="N10" s="40" t="str">
        <x:v>E5-NO-L-OR-N-RULE-MET</x:v>
      </x:c>
      <x:c r="O10" s="47" t="str">
        <x:v>Ministers have dropped plans to delay 30 local elections this May after receiving legal advice that doing so might be unlawful.</x:v>
      </x:c>
      <x:c r="P10" s="47" t="str">
        <x:v>include</x:v>
      </x:c>
      <x:c r="Q10" s="47" t="str">
        <x:v>E5-L3-COUNCIL-ISSUE</x:v>
      </x:c>
      <x:c r="R10" s="47" t="str">
        <x:v>Ministers have dropped plans to delay 30 local elections this May</x:v>
      </x:c>
      <x:c r="S10" s="40" t="str">
        <x:v>no</x:v>
      </x:c>
      <x:c r="T10" s="40" t="str">
        <x:v>human_exclude__llm_include</x:v>
      </x:c>
      <x:c r="U10" s="40" t="str">
        <x:v>in_v1_excerpt</x:v>
      </x:c>
      <x:c r="V10" s="40" t="str">
        <x:v>True</x:v>
      </x:c>
      <x:c r="W10" s="41" t="str">
        <x:v>exclude</x:v>
      </x:c>
      <x:c r="X10" s="41" t="str">
        <x:v>L3</x:v>
      </x:c>
      <x:c r="Y10" s="41" t="str">
        <x:v>none</x:v>
      </x:c>
      <x:c r="Z10" s="41" t="str">
        <x:v>wrong_arm_rule</x:v>
      </x:c>
      <x:c r="AA10" s="41" t="str">
        <x:v>no</x:v>
      </x:c>
      <x:c r="AB10" s="41" t="str">
        <x:v>decision_tree_change</x:v>
      </x:c>
      <x:c r="AC10" s="41" t="str">
        <x:v>no</x:v>
      </x:c>
      <x:c r="AD10" s="49" t="str">
        <x:v>Ministers have dropped plans to delay 30 local elections this May after receiving legal advice that doing so might be unlawful.</x:v>
      </x:c>
      <x:c r="AE10" s="49" t="str">
        <x:v>The live blog concerns national decisions about English local elections. It contains no sampled Surrey place or Surrey-specific council effect, so a general local-government story cannot satisfy local L3.</x:v>
      </x:c>
      <x:c r="AF10" s="41" t="str">
        <x:v>AI-assisted development draft (researcher verification required)</x:v>
      </x:c>
      <x:c r="AG10" s="41" t="str">
        <x:v>2026-07-24</x:v>
      </x:c>
      <x:c r="AH10" s="42" t="str">
        <x:f>IF(B10&lt;&gt;"complete","",IF(OR(W10="",X10="",Y10="",Z10="",AA10="",AB10="",AD10="",AF10="",AG10=""),"MISSING REQUIRED FIELD","OK"))</x:f>
        <x:v>OK</x:v>
      </x:c>
    </x:row>
    <x:row r="11" ht="70" customHeight="1">
      <x:c r="A11" s="39" t="n">
        <x:v>6</x:v>
      </x:c>
      <x:c r="B11" s="40" t="str">
        <x:v>complete</x:v>
      </x:c>
      <x:c r="C11" s="40" t="str">
        <x:v>NEWS-guardian_api-0f4380a6f846</x:v>
      </x:c>
      <x:c r="D11" s="40" t="str">
        <x:v>SCC-2021-05</x:v>
      </x:c>
      <x:c r="E11" s="40" t="str">
        <x:v>national</x:v>
      </x:c>
      <x:c r="F11" s="40" t="str">
        <x:v>guardian_api</x:v>
      </x:c>
      <x:c r="G11" s="47" t="str">
        <x:v>Revisiting the rose-tinted British history I was taught 60 years ago | Letter</x:v>
      </x:c>
      <x:c r="H11" s="40" t="str">
        <x:v>2021-03-10</x:v>
      </x:c>
      <x:c r="I11" s="40" t="str"/>
      <x:c r="J11" s="47" t="str">
        <x:v>"Reform UK"</x:v>
      </x:c>
      <x:c r="K11" s="40" t="str">
        <x:v>no</x:v>
      </x:c>
      <x:c r="L11" s="40" t="str">
        <x:v>no</x:v>
      </x:c>
      <x:c r="M11" s="40" t="str">
        <x:v>include</x:v>
      </x:c>
      <x:c r="N11" s="40" t="str">
        <x:v>E5-N1-PARTY-POLITICS</x:v>
      </x:c>
      <x:c r="O11" s="47" t="str">
        <x:v>Nigel Farage must know but doesn’t seem to care that history is written by the winners (Nigel Farage quits as Reform UK leader in step back from party politics, 8 March) as he worries about what our children might learn today.</x:v>
      </x:c>
      <x:c r="P11" s="47" t="str">
        <x:v>exclude</x:v>
      </x:c>
      <x:c r="Q11" s="47" t="str">
        <x:v>E5-NO-L-OR-N-RULE-MET</x:v>
      </x:c>
      <x:c r="R11" s="47" t="str"/>
      <x:c r="S11" s="40" t="str">
        <x:v>yes</x:v>
      </x:c>
      <x:c r="T11" s="40" t="str">
        <x:v>human_include__llm_exclude</x:v>
      </x:c>
      <x:c r="U11" s="40" t="str">
        <x:v>in_v1_excerpt</x:v>
      </x:c>
      <x:c r="V11" s="40" t="str">
        <x:v>False</x:v>
      </x:c>
      <x:c r="W11" s="41" t="str">
        <x:v>include</x:v>
      </x:c>
      <x:c r="X11" s="41" t="str">
        <x:v>N1</x:v>
      </x:c>
      <x:c r="Y11" s="41" t="str">
        <x:v>none</x:v>
      </x:c>
      <x:c r="Z11" s="41" t="str">
        <x:v>missed_qualifying_evidence</x:v>
      </x:c>
      <x:c r="AA11" s="41" t="str">
        <x:v>no</x:v>
      </x:c>
      <x:c r="AB11" s="41" t="str">
        <x:v>prompt_clarification</x:v>
      </x:c>
      <x:c r="AC11" s="41" t="str">
        <x:v>no</x:v>
      </x:c>
      <x:c r="AD11" s="49" t="str">
        <x:v>Nigel Farage must know but doesn’t seem to care that history is written by the winners (Nigel Farage quits as Reform UK leader in step back from party politics, 8 March) as he worries about what our children might learn today.</x:v>
      </x:c>
      <x:c r="AE11" s="49" t="str">
        <x:v>The letter directly discusses Nigel Farage, Reform UK leadership and party politics. That is sufficient national-party evidence under N1 even though most of the letter discusses historical education.</x:v>
      </x:c>
      <x:c r="AF11" s="41" t="str">
        <x:v>AI-assisted development draft (researcher verification required)</x:v>
      </x:c>
      <x:c r="AG11" s="41" t="str">
        <x:v>2026-07-24</x:v>
      </x:c>
      <x:c r="AH11" s="42" t="str">
        <x:f>IF(B11&lt;&gt;"complete","",IF(OR(W11="",X11="",Y11="",Z11="",AA11="",AB11="",AD11="",AF11="",AG11=""),"MISSING REQUIRED FIELD","OK"))</x:f>
        <x:v>OK</x:v>
      </x:c>
    </x:row>
    <x:row r="12" ht="70" customHeight="1">
      <x:c r="A12" s="39" t="n">
        <x:v>7</x:v>
      </x:c>
      <x:c r="B12" s="40" t="str">
        <x:v>complete</x:v>
      </x:c>
      <x:c r="C12" s="40" t="str">
        <x:v>NEWS-guardian_api-1593f58b94d2</x:v>
      </x:c>
      <x:c r="D12" s="40" t="str">
        <x:v>SCC-2017-05</x:v>
      </x:c>
      <x:c r="E12" s="40" t="str">
        <x:v>local</x:v>
      </x:c>
      <x:c r="F12" s="40" t="str">
        <x:v>guardian_api</x:v>
      </x:c>
      <x:c r="G12" s="47" t="str">
        <x:v>Millwall stadium controversy intensifies as false funding claims revealed</x:v>
      </x:c>
      <x:c r="H12" s="40" t="str">
        <x:v>2017-01-19</x:v>
      </x:c>
      <x:c r="I12" s="40" t="str"/>
      <x:c r="J12" s="47" t="str">
        <x:v>Surrey AND (council OR election)</x:v>
      </x:c>
      <x:c r="K12" s="40" t="str">
        <x:v>no</x:v>
      </x:c>
      <x:c r="L12" s="40" t="str">
        <x:v>yes</x:v>
      </x:c>
      <x:c r="M12" s="40" t="str">
        <x:v>exclude</x:v>
      </x:c>
      <x:c r="N12" s="40" t="str">
        <x:v>E5-NO-L-OR-N-RULE-MET</x:v>
      </x:c>
      <x:c r="O12" s="47" t="str">
        <x:v>The sports foundation at the heart of the Millwall FC compulsory purchase battle has been making false claims of having a £2m funding agreement from Sport England during the ongoing CPO process, the Guardian can reveal.</x:v>
      </x:c>
      <x:c r="P12" s="47" t="str">
        <x:v>include</x:v>
      </x:c>
      <x:c r="Q12" s="47" t="str">
        <x:v>E5-L3-COUNCIL-ISSUE</x:v>
      </x:c>
      <x:c r="R12" s="47" t="str">
        <x:v>The £2m claim was present on 25 June 2014 in a report to Lewisham's mayor and cabinet recommending the grant of half a million pounds of public money</x:v>
      </x:c>
      <x:c r="S12" s="40" t="str">
        <x:v>no</x:v>
      </x:c>
      <x:c r="T12" s="40" t="str">
        <x:v>human_exclude__llm_include</x:v>
      </x:c>
      <x:c r="U12" s="40" t="str">
        <x:v>in_v1_excerpt</x:v>
      </x:c>
      <x:c r="V12" s="40" t="str">
        <x:v>True</x:v>
      </x:c>
      <x:c r="W12" s="41" t="str">
        <x:v>exclude</x:v>
      </x:c>
      <x:c r="X12" s="41" t="str">
        <x:v>L3</x:v>
      </x:c>
      <x:c r="Y12" s="41" t="str">
        <x:v>none</x:v>
      </x:c>
      <x:c r="Z12" s="41" t="str">
        <x:v>entity_or_namesake_confusion</x:v>
      </x:c>
      <x:c r="AA12" s="41" t="str">
        <x:v>no</x:v>
      </x:c>
      <x:c r="AB12" s="41" t="str">
        <x:v>few_shot_example</x:v>
      </x:c>
      <x:c r="AC12" s="41" t="str">
        <x:v>yes</x:v>
      </x:c>
      <x:c r="AD12" s="49" t="str">
        <x:v>The sports foundation at the heart of the Millwall FC compulsory purchase battle has been making false claims of having a £2m funding agreement from Sport England during the ongoing CPO process, the Guardian can reveal.</x:v>
      </x:c>
      <x:c r="AE12" s="49" t="str">
        <x:v>The story is about Millwall, Lewisham council and a company called Surrey Canal Sports Foundation. Surrey Canal is a name connected to south London, not evidence of a Surrey council issue or sampled Surrey place.</x:v>
      </x:c>
      <x:c r="AF12" s="41" t="str">
        <x:v>AI-assisted development draft (researcher verification required)</x:v>
      </x:c>
      <x:c r="AG12" s="41" t="str">
        <x:v>2026-07-24</x:v>
      </x:c>
      <x:c r="AH12" s="42" t="str">
        <x:f>IF(B12&lt;&gt;"complete","",IF(OR(W12="",X12="",Y12="",Z12="",AA12="",AB12="",AD12="",AF12="",AG12=""),"MISSING REQUIRED FIELD","OK"))</x:f>
        <x:v>OK</x:v>
      </x:c>
    </x:row>
    <x:row r="13" ht="70" customHeight="1">
      <x:c r="A13" s="39" t="n">
        <x:v>8</x:v>
      </x:c>
      <x:c r="B13" s="40" t="str">
        <x:v>complete</x:v>
      </x:c>
      <x:c r="C13" s="40" t="str">
        <x:v>NEWS-guardian_api-165b44f90fe0</x:v>
      </x:c>
      <x:c r="D13" s="40" t="str">
        <x:v>SCC-2017-05</x:v>
      </x:c>
      <x:c r="E13" s="40" t="str">
        <x:v>local</x:v>
      </x:c>
      <x:c r="F13" s="40" t="str">
        <x:v>guardian_api</x:v>
      </x:c>
      <x:c r="G13" s="47" t="str">
        <x:v>The Guardian view on the last PMQs: now the unnecessary election | Editorial</x:v>
      </x:c>
      <x:c r="H13" s="40" t="str">
        <x:v>2017-04-26</x:v>
      </x:c>
      <x:c r="I13" s="40" t="str"/>
      <x:c r="J13" s="47" t="str">
        <x:v>UKIP AND Surrey</x:v>
      </x:c>
      <x:c r="K13" s="40" t="str">
        <x:v>no</x:v>
      </x:c>
      <x:c r="L13" s="40" t="str">
        <x:v>yes</x:v>
      </x:c>
      <x:c r="M13" s="40" t="str">
        <x:v>exclude</x:v>
      </x:c>
      <x:c r="N13" s="40" t="str">
        <x:v>E5-NO-L-OR-N-RULE-MET</x:v>
      </x:c>
      <x:c r="O13" s="47" t="str">
        <x:v>The business of the shortest parliament since 1974 is nearly done.</x:v>
      </x:c>
      <x:c r="P13" s="47" t="str">
        <x:v>include</x:v>
      </x:c>
      <x:c r="Q13" s="47" t="str">
        <x:v>E5-N1-PARTY-POLITICS</x:v>
      </x:c>
      <x:c r="R13" s="47" t="str">
        <x:v>She and Jeremy Corbyn operated on entirely separate tracks, he spattering her with questions on the NHS, taxes, pensions and the housing crisis, all of which she ignored in order to launch her prepared attacks.</x:v>
      </x:c>
      <x:c r="S13" s="40" t="str">
        <x:v>no</x:v>
      </x:c>
      <x:c r="T13" s="40" t="str">
        <x:v>human_exclude__llm_include</x:v>
      </x:c>
      <x:c r="U13" s="40" t="str">
        <x:v>in_v1_excerpt</x:v>
      </x:c>
      <x:c r="V13" s="40" t="str">
        <x:v>True</x:v>
      </x:c>
      <x:c r="W13" s="41" t="str">
        <x:v>exclude</x:v>
      </x:c>
      <x:c r="X13" s="41" t="str">
        <x:v>L4</x:v>
      </x:c>
      <x:c r="Y13" s="41" t="str">
        <x:v>none</x:v>
      </x:c>
      <x:c r="Z13" s="41" t="str">
        <x:v>incidental_place_overread</x:v>
      </x:c>
      <x:c r="AA13" s="41" t="str">
        <x:v>no</x:v>
      </x:c>
      <x:c r="AB13" s="41" t="str">
        <x:v>few_shot_example</x:v>
      </x:c>
      <x:c r="AC13" s="41" t="str">
        <x:v>no</x:v>
      </x:c>
      <x:c r="AD13" s="49" t="str">
        <x:v>The business of the shortest parliament since 1974 is nearly done.</x:v>
      </x:c>
      <x:c r="AE13" s="49" t="str">
        <x:v>The editorial is about the UK general election and Brexit. Its retrospective Surrey council example is a passing illustration and is not Surrey-wide political coverage for the sampled local arm.</x:v>
      </x:c>
      <x:c r="AF13" s="41" t="str">
        <x:v>AI-assisted development draft (researcher verification required)</x:v>
      </x:c>
      <x:c r="AG13" s="41" t="str">
        <x:v>2026-07-24</x:v>
      </x:c>
      <x:c r="AH13" s="42" t="str">
        <x:f>IF(B13&lt;&gt;"complete","",IF(OR(W13="",X13="",Y13="",Z13="",AA13="",AB13="",AD13="",AF13="",AG13=""),"MISSING REQUIRED FIELD","OK"))</x:f>
        <x:v>OK</x:v>
      </x:c>
    </x:row>
    <x:row r="14" ht="70" customHeight="1">
      <x:c r="A14" s="39" t="n">
        <x:v>9</x:v>
      </x:c>
      <x:c r="B14" s="40" t="str">
        <x:v>complete</x:v>
      </x:c>
      <x:c r="C14" s="40" t="str">
        <x:v>NEWS-guardian_api-1d67c0c9dc56</x:v>
      </x:c>
      <x:c r="D14" s="40" t="str">
        <x:v>SCC-2017-05</x:v>
      </x:c>
      <x:c r="E14" s="40" t="str">
        <x:v>national</x:v>
      </x:c>
      <x:c r="F14" s="40" t="str">
        <x:v>guardian_api</x:v>
      </x:c>
      <x:c r="G14" s="47" t="str">
        <x:v>You look familiar: on patrol with the Met’s super-recognisers</x:v>
      </x:c>
      <x:c r="H14" s="40" t="str">
        <x:v>2016-11-05</x:v>
      </x:c>
      <x:c r="I14" s="40" t="str"/>
      <x:c r="J14" s="47" t="str">
        <x:v>UK immigration policy</x:v>
      </x:c>
      <x:c r="K14" s="40" t="str">
        <x:v>no</x:v>
      </x:c>
      <x:c r="L14" s="40" t="str">
        <x:v>no</x:v>
      </x:c>
      <x:c r="M14" s="40" t="str">
        <x:v>include</x:v>
      </x:c>
      <x:c r="N14" s="40" t="str">
        <x:v>E5-N2-POLICY-ISSUE</x:v>
      </x:c>
      <x:c r="O14" s="47" t="str">
        <x:v>When Gary Collins arrived at work in Stoke Newington police station, east London, in January last year he was told a teenage boy had been stabbed to death.</x:v>
      </x:c>
      <x:c r="P14" s="47" t="str">
        <x:v>exclude</x:v>
      </x:c>
      <x:c r="Q14" s="47" t="str">
        <x:v>E5-NO-L-OR-N-RULE-MET</x:v>
      </x:c>
      <x:c r="R14" s="47" t="str">
        <x:v>His speciality is identification.</x:v>
      </x:c>
      <x:c r="S14" s="40" t="str">
        <x:v>no</x:v>
      </x:c>
      <x:c r="T14" s="40" t="str">
        <x:v>human_include__llm_exclude</x:v>
      </x:c>
      <x:c r="U14" s="40" t="str">
        <x:v>in_v1_excerpt</x:v>
      </x:c>
      <x:c r="V14" s="40" t="str">
        <x:v>True</x:v>
      </x:c>
      <x:c r="W14" s="41" t="str">
        <x:v>include</x:v>
      </x:c>
      <x:c r="X14" s="41" t="str">
        <x:v>N2</x:v>
      </x:c>
      <x:c r="Y14" s="41" t="str">
        <x:v>none</x:v>
      </x:c>
      <x:c r="Z14" s="41" t="str">
        <x:v>missed_qualifying_evidence</x:v>
      </x:c>
      <x:c r="AA14" s="41" t="str">
        <x:v>no</x:v>
      </x:c>
      <x:c r="AB14" s="41" t="str">
        <x:v>prompt_clarification</x:v>
      </x:c>
      <x:c r="AC14" s="41" t="str">
        <x:v>no</x:v>
      </x:c>
      <x:c r="AD14" s="49" t="str">
        <x:v>When Gary Collins arrived at work in Stoke Newington police station, east London, in January last year he was told a teenage boy had been stabbed to death.</x:v>
      </x:c>
      <x:c r="AE14" s="49" t="str">
        <x:v>The article substantively examines a Metropolitan Police identification service and its use in criminal investigations. Policing is a national public-service issue within the N2 public-services category.</x:v>
      </x:c>
      <x:c r="AF14" s="41" t="str">
        <x:v>AI-assisted development draft (researcher verification required)</x:v>
      </x:c>
      <x:c r="AG14" s="41" t="str">
        <x:v>2026-07-24</x:v>
      </x:c>
      <x:c r="AH14" s="42" t="str">
        <x:f>IF(B14&lt;&gt;"complete","",IF(OR(W14="",X14="",Y14="",Z14="",AA14="",AB14="",AD14="",AF14="",AG14=""),"MISSING REQUIRED FIELD","OK"))</x:f>
        <x:v>OK</x:v>
      </x:c>
    </x:row>
    <x:row r="15" ht="70" customHeight="1">
      <x:c r="A15" s="39" t="n">
        <x:v>10</x:v>
      </x:c>
      <x:c r="B15" s="40" t="str">
        <x:v>complete</x:v>
      </x:c>
      <x:c r="C15" s="40" t="str">
        <x:v>NEWS-guardian_api-26998343d44f</x:v>
      </x:c>
      <x:c r="D15" s="40" t="str">
        <x:v>SCC-2013-05</x:v>
      </x:c>
      <x:c r="E15" s="40" t="str">
        <x:v>national</x:v>
      </x:c>
      <x:c r="F15" s="40" t="str">
        <x:v>guardian_api</x:v>
      </x:c>
      <x:c r="G15" s="47" t="str">
        <x:v>Wages have flattened for years, the cost of living has spiralled and the richest have accelerated away. Join our debate. We want to hear your ideas for a new economy.</x:v>
      </x:c>
      <x:c r="H15" s="40" t="str">
        <x:v>2013-02-03</x:v>
      </x:c>
      <x:c r="I15" s="40" t="str"/>
      <x:c r="J15" s="47" t="str">
        <x:v>"cost of living"</x:v>
      </x:c>
      <x:c r="K15" s="40" t="str">
        <x:v>no</x:v>
      </x:c>
      <x:c r="L15" s="40" t="str">
        <x:v>no</x:v>
      </x:c>
      <x:c r="M15" s="40" t="str">
        <x:v>include</x:v>
      </x:c>
      <x:c r="N15" s="40" t="str">
        <x:v>E5-N2-POLICY-ISSUE</x:v>
      </x:c>
      <x:c r="O15" s="47" t="str">
        <x:v>Today, the Observer New Review publishes a vivid account of Robert Reich's new documentary Inequality for All.</x:v>
      </x:c>
      <x:c r="P15" s="47" t="str">
        <x:v>exclude</x:v>
      </x:c>
      <x:c r="Q15" s="47" t="str">
        <x:v>E5-NO-L-OR-N-RULE-MET</x:v>
      </x:c>
      <x:c r="R15" s="47" t="str">
        <x:v>Tell us, in the thread below, how you would change capitalism.</x:v>
      </x:c>
      <x:c r="S15" s="40" t="str">
        <x:v>no</x:v>
      </x:c>
      <x:c r="T15" s="40" t="str">
        <x:v>human_include__llm_exclude</x:v>
      </x:c>
      <x:c r="U15" s="40" t="str">
        <x:v>in_v1_excerpt</x:v>
      </x:c>
      <x:c r="V15" s="40" t="str">
        <x:v>False</x:v>
      </x:c>
      <x:c r="W15" s="41" t="str">
        <x:v>include</x:v>
      </x:c>
      <x:c r="X15" s="41" t="str">
        <x:v>N2</x:v>
      </x:c>
      <x:c r="Y15" s="41" t="str">
        <x:v>none</x:v>
      </x:c>
      <x:c r="Z15" s="41" t="str">
        <x:v>missed_qualifying_evidence</x:v>
      </x:c>
      <x:c r="AA15" s="41" t="str">
        <x:v>no</x:v>
      </x:c>
      <x:c r="AB15" s="41" t="str">
        <x:v>prompt_clarification</x:v>
      </x:c>
      <x:c r="AC15" s="41" t="str">
        <x:v>no</x:v>
      </x:c>
      <x:c r="AD15" s="49" t="str">
        <x:v>Today, the Observer New Review publishes a vivid account of Robert Reich's new documentary Inequality for All.</x:v>
      </x:c>
      <x:c r="AE15" s="49" t="str">
        <x:v>The article explicitly concerns stagnant wages, rising living costs and economic inequality. These are substantive cost-of-living issues under N2.</x:v>
      </x:c>
      <x:c r="AF15" s="41" t="str">
        <x:v>AI-assisted development draft (researcher verification required)</x:v>
      </x:c>
      <x:c r="AG15" s="41" t="str">
        <x:v>2026-07-24</x:v>
      </x:c>
      <x:c r="AH15" s="42" t="str">
        <x:f>IF(B15&lt;&gt;"complete","",IF(OR(W15="",X15="",Y15="",Z15="",AA15="",AB15="",AD15="",AF15="",AG15=""),"MISSING REQUIRED FIELD","OK"))</x:f>
        <x:v>OK</x:v>
      </x:c>
    </x:row>
    <x:row r="16" ht="70" customHeight="1">
      <x:c r="A16" s="39" t="n">
        <x:v>11</x:v>
      </x:c>
      <x:c r="B16" s="40" t="str">
        <x:v>complete</x:v>
      </x:c>
      <x:c r="C16" s="40" t="str">
        <x:v>NEWS-guardian_api-299f68788499</x:v>
      </x:c>
      <x:c r="D16" s="40" t="str">
        <x:v>SCC-2013-05</x:v>
      </x:c>
      <x:c r="E16" s="40" t="str">
        <x:v>local</x:v>
      </x:c>
      <x:c r="F16" s="40" t="str">
        <x:v>guardian_api</x:v>
      </x:c>
      <x:c r="G16" s="47" t="str">
        <x:v>Norovirus: people with winter vomiting bug urged to stay at home</x:v>
      </x:c>
      <x:c r="H16" s="40" t="str">
        <x:v>2012-12-19</x:v>
      </x:c>
      <x:c r="I16" s="40" t="str"/>
      <x:c r="J16" s="47" t="str">
        <x:v>Surrey AND (council OR election)</x:v>
      </x:c>
      <x:c r="K16" s="40" t="str">
        <x:v>no</x:v>
      </x:c>
      <x:c r="L16" s="40" t="str">
        <x:v>yes</x:v>
      </x:c>
      <x:c r="M16" s="40" t="str">
        <x:v>include</x:v>
      </x:c>
      <x:c r="N16" s="40" t="str">
        <x:v>E5-L3-COUNCIL-ISSUE</x:v>
      </x:c>
      <x:c r="O16" s="47" t="str">
        <x:v>In the south of England East Surrey hospital in Redhill stopped visits to 10 of its wards on Tuesday, a decision which had not been taken lightly, Surrey and Sussex Healthcare NHS trust said.</x:v>
      </x:c>
      <x:c r="P16" s="47" t="str">
        <x:v>exclude</x:v>
      </x:c>
      <x:c r="Q16" s="47" t="str">
        <x:v>E5-NO-L-OR-N-RULE-MET</x:v>
      </x:c>
      <x:c r="R16" s="47" t="str"/>
      <x:c r="S16" s="40" t="str">
        <x:v>yes</x:v>
      </x:c>
      <x:c r="T16" s="40" t="str">
        <x:v>human_include__llm_exclude</x:v>
      </x:c>
      <x:c r="U16" s="40" t="str">
        <x:v>in_v1_excerpt</x:v>
      </x:c>
      <x:c r="V16" s="40" t="str">
        <x:v>True</x:v>
      </x:c>
      <x:c r="W16" s="41" t="str">
        <x:v>include</x:v>
      </x:c>
      <x:c r="X16" s="41" t="str">
        <x:v>L1</x:v>
      </x:c>
      <x:c r="Y16" s="41" t="str">
        <x:v>none</x:v>
      </x:c>
      <x:c r="Z16" s="41" t="str">
        <x:v>missed_qualifying_evidence</x:v>
      </x:c>
      <x:c r="AA16" s="41" t="str">
        <x:v>yes</x:v>
      </x:c>
      <x:c r="AB16" s="41" t="str">
        <x:v>prompt_clarification</x:v>
      </x:c>
      <x:c r="AC16" s="41" t="str">
        <x:v>no</x:v>
      </x:c>
      <x:c r="AD16" s="49" t="str">
        <x:v>In the south of England East Surrey hospital in Redhill stopped visits to 10 of its wards on Tuesday, a decision which had not been taken lightly, Surrey and Sussex Healthcare NHS trust said.</x:v>
      </x:c>
      <x:c r="AE16" s="49" t="str">
        <x:v>The article gives a substantive local example at East Surrey Hospital in Redhill. The correct basis is L1 place linkage; the NHS trust decision is not a Surrey council decision and should not be coded as L3.</x:v>
      </x:c>
      <x:c r="AF16" s="41" t="str">
        <x:v>AI-assisted development draft (researcher verification required)</x:v>
      </x:c>
      <x:c r="AG16" s="41" t="str">
        <x:v>2026-07-24</x:v>
      </x:c>
      <x:c r="AH16" s="42" t="str">
        <x:f>IF(B16&lt;&gt;"complete","",IF(OR(W16="",X16="",Y16="",Z16="",AA16="",AB16="",AD16="",AF16="",AG16=""),"MISSING REQUIRED FIELD","OK"))</x:f>
        <x:v>OK</x:v>
      </x:c>
    </x:row>
    <x:row r="17" ht="70" customHeight="1">
      <x:c r="A17" s="39" t="n">
        <x:v>12</x:v>
      </x:c>
      <x:c r="B17" s="40" t="str">
        <x:v>complete</x:v>
      </x:c>
      <x:c r="C17" s="40" t="str">
        <x:v>NEWS-guardian_api-34e77f9bede6</x:v>
      </x:c>
      <x:c r="D17" s="40" t="str">
        <x:v>SCC-2013-05</x:v>
      </x:c>
      <x:c r="E17" s="40" t="str">
        <x:v>national</x:v>
      </x:c>
      <x:c r="F17" s="40" t="str">
        <x:v>guardian_api</x:v>
      </x:c>
      <x:c r="G17" s="47" t="str">
        <x:v>David Davies, Conservative MP: 'I may well be wrong'</x:v>
      </x:c>
      <x:c r="H17" s="40" t="str">
        <x:v>2012-12-21</x:v>
      </x:c>
      <x:c r="I17" s="40" t="str"/>
      <x:c r="J17" s="47" t="str">
        <x:v>UKIP AND Conservatives</x:v>
      </x:c>
      <x:c r="K17" s="40" t="str">
        <x:v>no</x:v>
      </x:c>
      <x:c r="L17" s="40" t="str">
        <x:v>no</x:v>
      </x:c>
      <x:c r="M17" s="40" t="str">
        <x:v>include</x:v>
      </x:c>
      <x:c r="N17" s="40" t="str">
        <x:v>E5-N1-PARTY-POLITICS</x:v>
      </x:c>
      <x:c r="O17" s="47" t="str">
        <x:v>Having campaigned against devolution in Wales, in 1999 he was elected to the Welsh Assembly on a platform of opposition to any further devolution, and won Monmouth for the Conservatives in 2005.</x:v>
      </x:c>
      <x:c r="P17" s="47" t="str">
        <x:v>exclude</x:v>
      </x:c>
      <x:c r="Q17" s="47" t="str">
        <x:v>E5-NO-L-OR-N-RULE-MET</x:v>
      </x:c>
      <x:c r="R17" s="47" t="str"/>
      <x:c r="S17" s="40" t="str">
        <x:v>yes</x:v>
      </x:c>
      <x:c r="T17" s="40" t="str">
        <x:v>human_include__llm_exclude</x:v>
      </x:c>
      <x:c r="U17" s="40" t="str">
        <x:v>full_text_only</x:v>
      </x:c>
      <x:c r="V17" s="40" t="str">
        <x:v>True</x:v>
      </x:c>
      <x:c r="W17" s="41" t="str">
        <x:v>include</x:v>
      </x:c>
      <x:c r="X17" s="41" t="str">
        <x:v>N1</x:v>
      </x:c>
      <x:c r="Y17" s="41" t="str">
        <x:v>evidence_beyond_excerpt</x:v>
      </x:c>
      <x:c r="Z17" s="41" t="str">
        <x:v>missed_qualifying_evidence</x:v>
      </x:c>
      <x:c r="AA17" s="41" t="str">
        <x:v>no</x:v>
      </x:c>
      <x:c r="AB17" s="41" t="str">
        <x:v>input_fix</x:v>
      </x:c>
      <x:c r="AC17" s="41" t="str">
        <x:v>no</x:v>
      </x:c>
      <x:c r="AD17" s="49" t="str">
        <x:v>Having campaigned against devolution in Wales, in 1999 he was elected to the Welsh Assembly on a platform of opposition to any further devolution, and won Monmouth for the Conservatives in 2005.</x:v>
      </x:c>
      <x:c r="AE17" s="49" t="str">
        <x:v>The full article is a political profile of a Conservative MP and discusses his electoral and parliamentary positions. The decisive N1 material was outside the short v1 excerpt.</x:v>
      </x:c>
      <x:c r="AF17" s="41" t="str">
        <x:v>AI-assisted development draft (researcher verification required)</x:v>
      </x:c>
      <x:c r="AG17" s="41" t="str">
        <x:v>2026-07-24</x:v>
      </x:c>
      <x:c r="AH17" s="42" t="str">
        <x:f>IF(B17&lt;&gt;"complete","",IF(OR(W17="",X17="",Y17="",Z17="",AA17="",AB17="",AD17="",AF17="",AG17=""),"MISSING REQUIRED FIELD","OK"))</x:f>
        <x:v>OK</x:v>
      </x:c>
    </x:row>
    <x:row r="18" ht="70" customHeight="1">
      <x:c r="A18" s="39" t="n">
        <x:v>13</x:v>
      </x:c>
      <x:c r="B18" s="40" t="str">
        <x:v>complete</x:v>
      </x:c>
      <x:c r="C18" s="40" t="str">
        <x:v>NEWS-guardian_api-3a9be3f68624</x:v>
      </x:c>
      <x:c r="D18" s="40" t="str">
        <x:v>SCC-2021-05</x:v>
      </x:c>
      <x:c r="E18" s="40" t="str">
        <x:v>local</x:v>
      </x:c>
      <x:c r="F18" s="40" t="str">
        <x:v>guardian_api</x:v>
      </x:c>
      <x:c r="G18" s="47" t="str">
        <x:v>‘I can’t sell mum’s retirement flat – and the charges are mounting up’</x:v>
      </x:c>
      <x:c r="H18" s="40" t="str">
        <x:v>2021-03-28</x:v>
      </x:c>
      <x:c r="I18" s="40" t="str"/>
      <x:c r="J18" s="47" t="str">
        <x:v>Surrey AND (council OR election)</x:v>
      </x:c>
      <x:c r="K18" s="40" t="str">
        <x:v>no</x:v>
      </x:c>
      <x:c r="L18" s="40" t="str">
        <x:v>yes</x:v>
      </x:c>
      <x:c r="M18" s="40" t="str">
        <x:v>include</x:v>
      </x:c>
      <x:c r="N18" s="40" t="str">
        <x:v>E5-L1-PLACE</x:v>
      </x:c>
      <x:c r="O18" s="47" t="str">
        <x:v>In April 2018, a woman told the newspaper how she was struggling to sell the retirement flat her late parents had bought in 1997 and that she had been forced to cut the price from £185,000 to £140,000, well below the £260,000 average for a normal flat in the same Surrey village.</x:v>
      </x:c>
      <x:c r="P18" s="47" t="str">
        <x:v>exclude</x:v>
      </x:c>
      <x:c r="Q18" s="47" t="str">
        <x:v>E5-NO-L-OR-N-RULE-MET</x:v>
      </x:c>
      <x:c r="R18" s="47" t="str"/>
      <x:c r="S18" s="40" t="str">
        <x:v>yes</x:v>
      </x:c>
      <x:c r="T18" s="40" t="str">
        <x:v>human_include__llm_exclude</x:v>
      </x:c>
      <x:c r="U18" s="40" t="str">
        <x:v>full_text_only</x:v>
      </x:c>
      <x:c r="V18" s="40" t="str">
        <x:v>True</x:v>
      </x:c>
      <x:c r="W18" s="41" t="str">
        <x:v>exclude</x:v>
      </x:c>
      <x:c r="X18" s="41" t="str">
        <x:v>L1</x:v>
      </x:c>
      <x:c r="Y18" s="41" t="str">
        <x:v>none</x:v>
      </x:c>
      <x:c r="Z18" s="41" t="str">
        <x:v>incidental_place_overread</x:v>
      </x:c>
      <x:c r="AA18" s="41" t="str">
        <x:v>yes</x:v>
      </x:c>
      <x:c r="AB18" s="41" t="str">
        <x:v>few_shot_example</x:v>
      </x:c>
      <x:c r="AC18" s="41" t="str">
        <x:v>yes</x:v>
      </x:c>
      <x:c r="AD18" s="49" t="str">
        <x:v>In April 2018, a woman told the newspaper how she was struggling to sell the retirement flat her late parents had bought in 1997 and that she had been forced to cut the price from £185,000 to £140,000, well below the £260,000 average for a normal flat in the same Surrey village.</x:v>
      </x:c>
      <x:c r="AE18" s="49" t="str">
        <x:v>The article's main case concerns a retirement flat in Solihull. The unnamed Surrey village appears only in a comparison with a different case and does not create substantive sampled-area relevance.</x:v>
      </x:c>
      <x:c r="AF18" s="41" t="str">
        <x:v>AI-assisted development draft (researcher verification required)</x:v>
      </x:c>
      <x:c r="AG18" s="41" t="str">
        <x:v>2026-07-24</x:v>
      </x:c>
      <x:c r="AH18" s="42" t="str">
        <x:f>IF(B18&lt;&gt;"complete","",IF(OR(W18="",X18="",Y18="",Z18="",AA18="",AB18="",AD18="",AF18="",AG18=""),"MISSING REQUIRED FIELD","OK"))</x:f>
        <x:v>OK</x:v>
      </x:c>
    </x:row>
    <x:row r="19" ht="70" customHeight="1">
      <x:c r="A19" s="39" t="n">
        <x:v>14</x:v>
      </x:c>
      <x:c r="B19" s="40" t="str">
        <x:v>complete</x:v>
      </x:c>
      <x:c r="C19" s="40" t="str">
        <x:v>NEWS-guardian_api-4b66c98ae734</x:v>
      </x:c>
      <x:c r="D19" s="40" t="str">
        <x:v>ESWS-2026-05</x:v>
      </x:c>
      <x:c r="E19" s="40" t="str">
        <x:v>local</x:v>
      </x:c>
      <x:c r="F19" s="40" t="str">
        <x:v>guardian_api</x:v>
      </x:c>
      <x:c r="G19" s="47" t="str">
        <x:v>‘We’ve seen it decimate areas’: Somerset town’s traders oppose parking charges</x:v>
      </x:c>
      <x:c r="H19" s="40" t="str">
        <x:v>2025-12-23</x:v>
      </x:c>
      <x:c r="I19" s="40" t="str"/>
      <x:c r="J19" s="47" t="str">
        <x:v>Surrey AND (council OR election)</x:v>
      </x:c>
      <x:c r="K19" s="40" t="str">
        <x:v>no</x:v>
      </x:c>
      <x:c r="L19" s="40" t="str">
        <x:v>yes</x:v>
      </x:c>
      <x:c r="M19" s="40" t="str">
        <x:v>exclude</x:v>
      </x:c>
      <x:c r="N19" s="40" t="str">
        <x:v>E5-NO-L-OR-N-RULE-MET</x:v>
      </x:c>
      <x:c r="O19" s="47" t="str">
        <x:v>The shop windows are decked out in their festive finery, there are carols on the stereos and the tills are ringing.</x:v>
      </x:c>
      <x:c r="P19" s="47" t="str">
        <x:v>include</x:v>
      </x:c>
      <x:c r="Q19" s="47" t="str">
        <x:v>E5-L3-COUNCIL-ISSUE</x:v>
      </x:c>
      <x:c r="R19" s="47" t="str">
        <x:v>proposals by North Somerset council to introduce car parking charges on local streets</x:v>
      </x:c>
      <x:c r="S19" s="40" t="str">
        <x:v>no</x:v>
      </x:c>
      <x:c r="T19" s="40" t="str">
        <x:v>human_exclude__llm_include</x:v>
      </x:c>
      <x:c r="U19" s="40" t="str">
        <x:v>in_v1_excerpt</x:v>
      </x:c>
      <x:c r="V19" s="40" t="str">
        <x:v>True</x:v>
      </x:c>
      <x:c r="W19" s="41" t="str">
        <x:v>exclude</x:v>
      </x:c>
      <x:c r="X19" s="41" t="str">
        <x:v>L3</x:v>
      </x:c>
      <x:c r="Y19" s="41" t="str">
        <x:v>none</x:v>
      </x:c>
      <x:c r="Z19" s="41" t="str">
        <x:v>local_effect_not_established</x:v>
      </x:c>
      <x:c r="AA19" s="41" t="str">
        <x:v>no</x:v>
      </x:c>
      <x:c r="AB19" s="41" t="str">
        <x:v>prompt_clarification</x:v>
      </x:c>
      <x:c r="AC19" s="41" t="str">
        <x:v>no</x:v>
      </x:c>
      <x:c r="AD19" s="49" t="str">
        <x:v>The shop windows are decked out in their festive finery, there are carols on the stereos and the tills are ringing.</x:v>
      </x:c>
      <x:c r="AE19" s="49" t="str">
        <x:v>The article concerns parking charges in Clevedon imposed by North Somerset council. A non-Surrey council issue cannot satisfy local L3.</x:v>
      </x:c>
      <x:c r="AF19" s="41" t="str">
        <x:v>AI-assisted development draft (researcher verification required)</x:v>
      </x:c>
      <x:c r="AG19" s="41" t="str">
        <x:v>2026-07-24</x:v>
      </x:c>
      <x:c r="AH19" s="42" t="str">
        <x:f>IF(B19&lt;&gt;"complete","",IF(OR(W19="",X19="",Y19="",Z19="",AA19="",AB19="",AD19="",AF19="",AG19=""),"MISSING REQUIRED FIELD","OK"))</x:f>
        <x:v>OK</x:v>
      </x:c>
    </x:row>
    <x:row r="20" ht="70" customHeight="1">
      <x:c r="A20" s="39" t="n">
        <x:v>15</x:v>
      </x:c>
      <x:c r="B20" s="40" t="str">
        <x:v>complete</x:v>
      </x:c>
      <x:c r="C20" s="40" t="str">
        <x:v>NEWS-guardian_api-4f0bd20943f7</x:v>
      </x:c>
      <x:c r="D20" s="40" t="str">
        <x:v>SCC-2017-05</x:v>
      </x:c>
      <x:c r="E20" s="40" t="str">
        <x:v>national</x:v>
      </x:c>
      <x:c r="F20" s="40" t="str">
        <x:v>guardian_api</x:v>
      </x:c>
      <x:c r="G20" s="47" t="str">
        <x:v>From Trump to Brexit, power has leaked from cities to the countryside | Andy Beckett</x:v>
      </x:c>
      <x:c r="H20" s="40" t="str">
        <x:v>2016-12-12</x:v>
      </x:c>
      <x:c r="I20" s="40" t="str"/>
      <x:c r="J20" s="47" t="str">
        <x:v>UKIP AND Conservatives</x:v>
      </x:c>
      <x:c r="K20" s="40" t="str">
        <x:v>no</x:v>
      </x:c>
      <x:c r="L20" s="40" t="str">
        <x:v>no</x:v>
      </x:c>
      <x:c r="M20" s="40" t="str">
        <x:v>include</x:v>
      </x:c>
      <x:c r="N20" s="40" t="str">
        <x:v>E5-N1-PARTY-POLITICS</x:v>
      </x:c>
      <x:c r="O20" s="47" t="str">
        <x:v>A revolt against urban liberalism and multiculturalism, and their supposed imposition on the rest of the population, was a big element of the Brexit and Donald Trump campaigns.</x:v>
      </x:c>
      <x:c r="P20" s="47" t="str">
        <x:v>exclude</x:v>
      </x:c>
      <x:c r="Q20" s="47" t="str">
        <x:v>E5-NO-L-OR-N-RULE-MET</x:v>
      </x:c>
      <x:c r="R20" s="47" t="str">
        <x:v>A revolt against urban liberalism and multiculturalism, and their supposed imposition on the rest of the population, was a big element of the Brexit and Donald Trump campaigns.</x:v>
      </x:c>
      <x:c r="S20" s="40" t="str">
        <x:v>no</x:v>
      </x:c>
      <x:c r="T20" s="40" t="str">
        <x:v>human_include__llm_exclude</x:v>
      </x:c>
      <x:c r="U20" s="40" t="str">
        <x:v>in_v1_excerpt</x:v>
      </x:c>
      <x:c r="V20" s="40" t="str">
        <x:v>True</x:v>
      </x:c>
      <x:c r="W20" s="41" t="str">
        <x:v>include</x:v>
      </x:c>
      <x:c r="X20" s="41" t="str">
        <x:v>N1</x:v>
      </x:c>
      <x:c r="Y20" s="41" t="str">
        <x:v>none</x:v>
      </x:c>
      <x:c r="Z20" s="41" t="str">
        <x:v>missed_qualifying_evidence</x:v>
      </x:c>
      <x:c r="AA20" s="41" t="str">
        <x:v>no</x:v>
      </x:c>
      <x:c r="AB20" s="41" t="str">
        <x:v>prompt_clarification</x:v>
      </x:c>
      <x:c r="AC20" s="41" t="str">
        <x:v>no</x:v>
      </x:c>
      <x:c r="AD20" s="49" t="str">
        <x:v>A revolt against urban liberalism and multiculturalism, and their supposed imposition on the rest of the population, was a big element of the Brexit and Donald Trump campaigns.</x:v>
      </x:c>
      <x:c r="AE20" s="49" t="str">
        <x:v>The analysis concerns Brexit, Donald Trump and the political division between urban and rural voters. It is substantive national political coverage under N1.</x:v>
      </x:c>
      <x:c r="AF20" s="41" t="str">
        <x:v>AI-assisted development draft (researcher verification required)</x:v>
      </x:c>
      <x:c r="AG20" s="41" t="str">
        <x:v>2026-07-24</x:v>
      </x:c>
      <x:c r="AH20" s="42" t="str">
        <x:f>IF(B20&lt;&gt;"complete","",IF(OR(W20="",X20="",Y20="",Z20="",AA20="",AB20="",AD20="",AF20="",AG20=""),"MISSING REQUIRED FIELD","OK"))</x:f>
        <x:v>OK</x:v>
      </x:c>
    </x:row>
    <x:row r="21" ht="70" customHeight="1">
      <x:c r="A21" s="39" t="n">
        <x:v>16</x:v>
      </x:c>
      <x:c r="B21" s="40" t="str">
        <x:v>needs_adjudication</x:v>
      </x:c>
      <x:c r="C21" s="40" t="str">
        <x:v>NEWS-guardian_api-4fc41ad01b24</x:v>
      </x:c>
      <x:c r="D21" s="40" t="str">
        <x:v>SCC-2013-05</x:v>
      </x:c>
      <x:c r="E21" s="40" t="str">
        <x:v>national</x:v>
      </x:c>
      <x:c r="F21" s="40" t="str">
        <x:v>guardian_api</x:v>
      </x:c>
      <x:c r="G21" s="47" t="str">
        <x:v>Global awareness in schools: opportunities, challenges and ideas - live chat</x:v>
      </x:c>
      <x:c r="H21" s="40" t="str">
        <x:v>2012-11-03</x:v>
      </x:c>
      <x:c r="I21" s="40" t="str"/>
      <x:c r="J21" s="47" t="str">
        <x:v>UK immigration policy</x:v>
      </x:c>
      <x:c r="K21" s="40" t="str">
        <x:v>no</x:v>
      </x:c>
      <x:c r="L21" s="40" t="str">
        <x:v>no</x:v>
      </x:c>
      <x:c r="M21" s="40" t="str">
        <x:v>include</x:v>
      </x:c>
      <x:c r="N21" s="40" t="str">
        <x:v>E5-N2-POLICY-ISSUE</x:v>
      </x:c>
      <x:c r="O21" s="47" t="str">
        <x:v>Liz Neil is account co-ordinator, programmes and projects at British Council Liz has many years experience working on international education programmes for schools, colleges and universities, including eTwinning and Comenius.</x:v>
      </x:c>
      <x:c r="P21" s="47" t="str">
        <x:v>exclude</x:v>
      </x:c>
      <x:c r="Q21" s="47" t="str">
        <x:v>E5-NO-L-OR-N-RULE-MET</x:v>
      </x:c>
      <x:c r="R21" s="47" t="str"/>
      <x:c r="S21" s="40" t="str">
        <x:v>yes</x:v>
      </x:c>
      <x:c r="T21" s="40" t="str">
        <x:v>human_include__llm_exclude</x:v>
      </x:c>
      <x:c r="U21" s="40" t="str">
        <x:v>full_text_only</x:v>
      </x:c>
      <x:c r="V21" s="40" t="str">
        <x:v>True</x:v>
      </x:c>
      <x:c r="W21" s="41" t="str">
        <x:v>needs_second_review</x:v>
      </x:c>
      <x:c r="X21" s="41" t="str">
        <x:v>N2</x:v>
      </x:c>
      <x:c r="Y21" s="41" t="str">
        <x:v>evidence_beyond_excerpt</x:v>
      </x:c>
      <x:c r="Z21" s="41" t="str">
        <x:v>national_policy_scope_too_broad</x:v>
      </x:c>
      <x:c r="AA21" s="41" t="str">
        <x:v>yes</x:v>
      </x:c>
      <x:c r="AB21" s="41" t="str">
        <x:v>codebook_review</x:v>
      </x:c>
      <x:c r="AC21" s="41" t="str">
        <x:v>yes</x:v>
      </x:c>
      <x:c r="AD21" s="49" t="str">
        <x:v>Liz Neil is account co-ordinator, programmes and projects at British Council Liz has many years experience working on international education programmes for schools, colleges and universities, including eTwinning and Comenius.</x:v>
      </x:c>
      <x:c r="AE21" s="49" t="str">
        <x:v>The article concerns global awareness teaching rather than a clearly defined UK political decision, funding question or public-service performance issue. Adjudication should clarify whether general educational practice falls within N2 public services.</x:v>
      </x:c>
      <x:c r="AF21" s="41" t="str">
        <x:v>AI-assisted development draft (researcher verification required)</x:v>
      </x:c>
      <x:c r="AG21" s="41" t="str">
        <x:v>2026-07-24</x:v>
      </x:c>
      <x:c r="AH21" s="42" t="str">
        <x:f>IF(B21&lt;&gt;"complete","",IF(OR(W21="",X21="",Y21="",Z21="",AA21="",AB21="",AD21="",AF21="",AG21=""),"MISSING REQUIRED FIELD","OK"))</x:f>
      </x:c>
    </x:row>
    <x:row r="22" ht="70" customHeight="1">
      <x:c r="A22" s="39" t="n">
        <x:v>17</x:v>
      </x:c>
      <x:c r="B22" s="40" t="str">
        <x:v>complete</x:v>
      </x:c>
      <x:c r="C22" s="40" t="str">
        <x:v>NEWS-guardian_api-5155ba13661a</x:v>
      </x:c>
      <x:c r="D22" s="40" t="str">
        <x:v>SCC-2021-05</x:v>
      </x:c>
      <x:c r="E22" s="40" t="str">
        <x:v>national</x:v>
      </x:c>
      <x:c r="F22" s="40" t="str">
        <x:v>guardian_api</x:v>
      </x:c>
      <x:c r="G22" s="47" t="str">
        <x:v>Widow sues NHS over deaf husband's 'diabolical' care</x:v>
      </x:c>
      <x:c r="H22" s="40" t="str">
        <x:v>2021-03-07</x:v>
      </x:c>
      <x:c r="I22" s="40" t="str"/>
      <x:c r="J22" s="47" t="str">
        <x:v>NHS AND "public services"</x:v>
      </x:c>
      <x:c r="K22" s="40" t="str">
        <x:v>no</x:v>
      </x:c>
      <x:c r="L22" s="40" t="str">
        <x:v>no</x:v>
      </x:c>
      <x:c r="M22" s="40" t="str">
        <x:v>include</x:v>
      </x:c>
      <x:c r="N22" s="40" t="str">
        <x:v>E5-N2-POLICY-ISSUE</x:v>
      </x:c>
      <x:c r="O22" s="47" t="str">
        <x:v>A woman is taking legal action against an NHS trust over the “diabolical” and discriminatory treatment of her profoundly deaf husband, who died of cancer in May last year.</x:v>
      </x:c>
      <x:c r="P22" s="47" t="str">
        <x:v>exclude</x:v>
      </x:c>
      <x:c r="Q22" s="47" t="str">
        <x:v>E5-NO-L-OR-N-RULE-MET</x:v>
      </x:c>
      <x:c r="R22" s="47" t="str"/>
      <x:c r="S22" s="40" t="str">
        <x:v>yes</x:v>
      </x:c>
      <x:c r="T22" s="40" t="str">
        <x:v>human_include__llm_exclude</x:v>
      </x:c>
      <x:c r="U22" s="40" t="str">
        <x:v>in_v1_excerpt</x:v>
      </x:c>
      <x:c r="V22" s="40" t="str">
        <x:v>True</x:v>
      </x:c>
      <x:c r="W22" s="41" t="str">
        <x:v>include</x:v>
      </x:c>
      <x:c r="X22" s="41" t="str">
        <x:v>N2</x:v>
      </x:c>
      <x:c r="Y22" s="41" t="str">
        <x:v>none</x:v>
      </x:c>
      <x:c r="Z22" s="41" t="str">
        <x:v>missed_qualifying_evidence</x:v>
      </x:c>
      <x:c r="AA22" s="41" t="str">
        <x:v>no</x:v>
      </x:c>
      <x:c r="AB22" s="41" t="str">
        <x:v>prompt_clarification</x:v>
      </x:c>
      <x:c r="AC22" s="41" t="str">
        <x:v>no</x:v>
      </x:c>
      <x:c r="AD22" s="49" t="str">
        <x:v>A woman is taking legal action against an NHS trust over the “diabolical” and discriminatory treatment of her profoundly deaf husband, who died of cancer in May last year.</x:v>
      </x:c>
      <x:c r="AE22" s="49" t="str">
        <x:v>The article concerns alleged discriminatory treatment by an NHS trust and therefore directly addresses NHS service quality under N2.</x:v>
      </x:c>
      <x:c r="AF22" s="41" t="str">
        <x:v>AI-assisted development draft (researcher verification required)</x:v>
      </x:c>
      <x:c r="AG22" s="41" t="str">
        <x:v>2026-07-24</x:v>
      </x:c>
      <x:c r="AH22" s="42" t="str">
        <x:f>IF(B22&lt;&gt;"complete","",IF(OR(W22="",X22="",Y22="",Z22="",AA22="",AB22="",AD22="",AF22="",AG22=""),"MISSING REQUIRED FIELD","OK"))</x:f>
        <x:v>OK</x:v>
      </x:c>
    </x:row>
    <x:row r="23" ht="70" customHeight="1">
      <x:c r="A23" s="39" t="n">
        <x:v>18</x:v>
      </x:c>
      <x:c r="B23" s="40" t="str">
        <x:v>complete</x:v>
      </x:c>
      <x:c r="C23" s="40" t="str">
        <x:v>NEWS-guardian_api-568af3a4ccd4</x:v>
      </x:c>
      <x:c r="D23" s="40" t="str">
        <x:v>SCC-2013-05</x:v>
      </x:c>
      <x:c r="E23" s="40" t="str">
        <x:v>national</x:v>
      </x:c>
      <x:c r="F23" s="40" t="str">
        <x:v>guardian_api</x:v>
      </x:c>
      <x:c r="G23" s="47" t="str">
        <x:v>US presidential election 2012: The fight for Ohio, the state that likes to back the winner</x:v>
      </x:c>
      <x:c r="H23" s="40" t="str">
        <x:v>2012-11-03</x:v>
      </x:c>
      <x:c r="I23" s="40" t="str"/>
      <x:c r="J23" s="47" t="str">
        <x:v>UK immigration policy</x:v>
      </x:c>
      <x:c r="K23" s="40" t="str">
        <x:v>no</x:v>
      </x:c>
      <x:c r="L23" s="40" t="str">
        <x:v>no</x:v>
      </x:c>
      <x:c r="M23" s="40" t="str">
        <x:v>exclude</x:v>
      </x:c>
      <x:c r="N23" s="40" t="str">
        <x:v>E5-NO-L-OR-N-RULE-MET</x:v>
      </x:c>
      <x:c r="O23" s="47" t="str">
        <x:v>Ohio is where the warring halves of America meet.</x:v>
      </x:c>
      <x:c r="P23" s="47" t="str">
        <x:v>include</x:v>
      </x:c>
      <x:c r="Q23" s="47" t="str">
        <x:v>E5-L2-CANDIDATE</x:v>
      </x:c>
      <x:c r="R23" s="47" t="str">
        <x:v>battle over turf with red state Americans who desperately want Republican challenger Mitt Romney to bring the right back to power</x:v>
      </x:c>
      <x:c r="S23" s="40" t="str">
        <x:v>no</x:v>
      </x:c>
      <x:c r="T23" s="40" t="str">
        <x:v>human_exclude__llm_include</x:v>
      </x:c>
      <x:c r="U23" s="40" t="str">
        <x:v>in_v1_excerpt</x:v>
      </x:c>
      <x:c r="V23" s="40" t="str">
        <x:v>True</x:v>
      </x:c>
      <x:c r="W23" s="41" t="str">
        <x:v>exclude</x:v>
      </x:c>
      <x:c r="X23" s="41" t="str">
        <x:v>N1</x:v>
      </x:c>
      <x:c r="Y23" s="41" t="str">
        <x:v>none</x:v>
      </x:c>
      <x:c r="Z23" s="41" t="str">
        <x:v>wrong_arm_rule</x:v>
      </x:c>
      <x:c r="AA23" s="41" t="str">
        <x:v>no</x:v>
      </x:c>
      <x:c r="AB23" s="41" t="str">
        <x:v>decision_tree_change</x:v>
      </x:c>
      <x:c r="AC23" s="41" t="str">
        <x:v>no</x:v>
      </x:c>
      <x:c r="AD23" s="49" t="str">
        <x:v>Ohio is where the warring halves of America meet.</x:v>
      </x:c>
      <x:c r="AE23" s="49" t="str">
        <x:v>The article is about the United States presidential election. N1 is limited to UK national politics, and the L2 candidate code used by the model is invalid for a national-arm record.</x:v>
      </x:c>
      <x:c r="AF23" s="41" t="str">
        <x:v>AI-assisted development draft (researcher verification required)</x:v>
      </x:c>
      <x:c r="AG23" s="41" t="str">
        <x:v>2026-07-24</x:v>
      </x:c>
      <x:c r="AH23" s="42" t="str">
        <x:f>IF(B23&lt;&gt;"complete","",IF(OR(W23="",X23="",Y23="",Z23="",AA23="",AB23="",AD23="",AF23="",AG23=""),"MISSING REQUIRED FIELD","OK"))</x:f>
        <x:v>OK</x:v>
      </x:c>
    </x:row>
    <x:row r="24" ht="70" customHeight="1">
      <x:c r="A24" s="39" t="n">
        <x:v>19</x:v>
      </x:c>
      <x:c r="B24" s="40" t="str">
        <x:v>complete</x:v>
      </x:c>
      <x:c r="C24" s="40" t="str">
        <x:v>NEWS-guardian_api-649bfee8381e</x:v>
      </x:c>
      <x:c r="D24" s="40" t="str">
        <x:v>ESWS-2026-05</x:v>
      </x:c>
      <x:c r="E24" s="40" t="str">
        <x:v>local</x:v>
      </x:c>
      <x:c r="F24" s="40" t="str">
        <x:v>guardian_api</x:v>
      </x:c>
      <x:c r="G24" s="47" t="str">
        <x:v>No 10 to delay four England mayoral elections amid accusations of ‘cancelling democracy’</x:v>
      </x:c>
      <x:c r="H24" s="40" t="str">
        <x:v>2025-12-04</x:v>
      </x:c>
      <x:c r="I24" s="40" t="str"/>
      <x:c r="J24" s="47" t="str">
        <x:v>"Reform UK" AND Surrey</x:v>
      </x:c>
      <x:c r="K24" s="40" t="str">
        <x:v>no</x:v>
      </x:c>
      <x:c r="L24" s="40" t="str">
        <x:v>yes</x:v>
      </x:c>
      <x:c r="M24" s="40" t="str">
        <x:v>exclude</x:v>
      </x:c>
      <x:c r="N24" s="40" t="str">
        <x:v>E5-NO-L-OR-N-RULE-MET</x:v>
      </x:c>
      <x:c r="O24" s="47" t="str">
        <x:v>Ministers are to postpone elections for new mayors in four parts of England, prompting accusations from opposition parties that Downing Street is “cancelling democracy”.</x:v>
      </x:c>
      <x:c r="P24" s="47" t="str">
        <x:v>include</x:v>
      </x:c>
      <x:c r="Q24" s="47" t="str">
        <x:v>E5-L4-COUNTY-WIDE</x:v>
      </x:c>
      <x:c r="R24" s="47" t="str">
        <x:v>Newly created mayoralties in Greater Essex, Norfolk and Suffolk, Hampshire and the Solent, and Sussex and Brighton will be first contested in 2028</x:v>
      </x:c>
      <x:c r="S24" s="40" t="str">
        <x:v>no</x:v>
      </x:c>
      <x:c r="T24" s="40" t="str">
        <x:v>human_exclude__llm_include</x:v>
      </x:c>
      <x:c r="U24" s="40" t="str">
        <x:v>in_v1_excerpt</x:v>
      </x:c>
      <x:c r="V24" s="40" t="str">
        <x:v>True</x:v>
      </x:c>
      <x:c r="W24" s="41" t="str">
        <x:v>exclude</x:v>
      </x:c>
      <x:c r="X24" s="41" t="str">
        <x:v>L4</x:v>
      </x:c>
      <x:c r="Y24" s="41" t="str">
        <x:v>none</x:v>
      </x:c>
      <x:c r="Z24" s="41" t="str">
        <x:v>surrey_wide_rule_misapplied</x:v>
      </x:c>
      <x:c r="AA24" s="41" t="str">
        <x:v>no</x:v>
      </x:c>
      <x:c r="AB24" s="41" t="str">
        <x:v>prompt_clarification</x:v>
      </x:c>
      <x:c r="AC24" s="41" t="str">
        <x:v>no</x:v>
      </x:c>
      <x:c r="AD24" s="49" t="str">
        <x:v>Ministers are to postpone elections for new mayors in four parts of England, prompting accusations from opposition parties that Downing Street is “cancelling democracy”.</x:v>
      </x:c>
      <x:c r="AE24" s="49" t="str">
        <x:v>The article concerns mayoral elections in Essex, East Anglia, Hampshire and Sussex. Coverage spanning several English regions is not Surrey-wide political coverage under L4.</x:v>
      </x:c>
      <x:c r="AF24" s="41" t="str">
        <x:v>AI-assisted development draft (researcher verification required)</x:v>
      </x:c>
      <x:c r="AG24" s="41" t="str">
        <x:v>2026-07-24</x:v>
      </x:c>
      <x:c r="AH24" s="42" t="str">
        <x:f>IF(B24&lt;&gt;"complete","",IF(OR(W24="",X24="",Y24="",Z24="",AA24="",AB24="",AD24="",AF24="",AG24=""),"MISSING REQUIRED FIELD","OK"))</x:f>
        <x:v>OK</x:v>
      </x:c>
    </x:row>
    <x:row r="25" ht="70" customHeight="1">
      <x:c r="A25" s="39" t="n">
        <x:v>20</x:v>
      </x:c>
      <x:c r="B25" s="40" t="str">
        <x:v>complete</x:v>
      </x:c>
      <x:c r="C25" s="40" t="str">
        <x:v>NEWS-guardian_api-64ea38ced8bd</x:v>
      </x:c>
      <x:c r="D25" s="40" t="str">
        <x:v>SCC-2021-05</x:v>
      </x:c>
      <x:c r="E25" s="40" t="str">
        <x:v>local</x:v>
      </x:c>
      <x:c r="F25" s="40" t="str">
        <x:v>guardian_api</x:v>
      </x:c>
      <x:c r="G25" s="47" t="str">
        <x:v>'After assembly, I cried': Surrey school grapples with race issues</x:v>
      </x:c>
      <x:c r="H25" s="40" t="str">
        <x:v>2021-03-28</x:v>
      </x:c>
      <x:c r="I25" s="40" t="str"/>
      <x:c r="J25" s="47" t="str">
        <x:v>Surrey AND (council OR election)</x:v>
      </x:c>
      <x:c r="K25" s="40" t="str">
        <x:v>no</x:v>
      </x:c>
      <x:c r="L25" s="40" t="str">
        <x:v>yes</x:v>
      </x:c>
      <x:c r="M25" s="40" t="str">
        <x:v>include</x:v>
      </x:c>
      <x:c r="N25" s="40" t="str">
        <x:v>E5-L1-PLACE</x:v>
      </x:c>
      <x:c r="O25" s="47" t="str">
        <x:v>The speech was made in the playground of Nonsuch high school for girls in Surrey.</x:v>
      </x:c>
      <x:c r="P25" s="47" t="str">
        <x:v>exclude</x:v>
      </x:c>
      <x:c r="Q25" s="47" t="str">
        <x:v>E5-NO-L-OR-N-RULE-MET</x:v>
      </x:c>
      <x:c r="R25" s="47" t="str"/>
      <x:c r="S25" s="40" t="str">
        <x:v>yes</x:v>
      </x:c>
      <x:c r="T25" s="40" t="str">
        <x:v>human_include__llm_exclude</x:v>
      </x:c>
      <x:c r="U25" s="40" t="str">
        <x:v>in_v1_excerpt</x:v>
      </x:c>
      <x:c r="V25" s="40" t="str">
        <x:v>True</x:v>
      </x:c>
      <x:c r="W25" s="41" t="str">
        <x:v>exclude</x:v>
      </x:c>
      <x:c r="X25" s="41" t="str">
        <x:v>L1</x:v>
      </x:c>
      <x:c r="Y25" s="41" t="str">
        <x:v>missing_query_context</x:v>
      </x:c>
      <x:c r="Z25" s="41" t="str">
        <x:v>incidental_place_overread</x:v>
      </x:c>
      <x:c r="AA25" s="41" t="str">
        <x:v>yes</x:v>
      </x:c>
      <x:c r="AB25" s="41" t="str">
        <x:v>human_label_adjudication</x:v>
      </x:c>
      <x:c r="AC25" s="41" t="str">
        <x:v>no</x:v>
      </x:c>
      <x:c r="AD25" s="49" t="str">
        <x:v>The speech was made in the playground of Nonsuch high school for girls in Surrey.</x:v>
      </x:c>
      <x:c r="AE25" s="49" t="str">
        <x:v>The article is substantively about Nonsuch High School, but the school is associated with the Nonsuch area rather than any of the 17 sampled divisions in this study. A generic Surrey description is insufficient for sampled-area L1.</x:v>
      </x:c>
      <x:c r="AF25" s="41" t="str">
        <x:v>AI-assisted development draft (researcher verification required)</x:v>
      </x:c>
      <x:c r="AG25" s="41" t="str">
        <x:v>2026-07-24</x:v>
      </x:c>
      <x:c r="AH25" s="42" t="str">
        <x:f>IF(B25&lt;&gt;"complete","",IF(OR(W25="",X25="",Y25="",Z25="",AA25="",AB25="",AD25="",AF25="",AG25=""),"MISSING REQUIRED FIELD","OK"))</x:f>
        <x:v>OK</x:v>
      </x:c>
    </x:row>
    <x:row r="26" ht="70" customHeight="1">
      <x:c r="A26" s="39" t="n">
        <x:v>21</x:v>
      </x:c>
      <x:c r="B26" s="40" t="str">
        <x:v>complete</x:v>
      </x:c>
      <x:c r="C26" s="40" t="str">
        <x:v>NEWS-guardian_api-6549611cf8a4</x:v>
      </x:c>
      <x:c r="D26" s="40" t="str">
        <x:v>SCC-2017-05</x:v>
      </x:c>
      <x:c r="E26" s="40" t="str">
        <x:v>local</x:v>
      </x:c>
      <x:c r="F26" s="40" t="str">
        <x:v>guardian_api</x:v>
      </x:c>
      <x:c r="G26" s="47" t="str">
        <x:v>‘The government must unlock the money. Because the care crisis is now’   | Hélène Mulholland</x:v>
      </x:c>
      <x:c r="H26" s="40" t="str">
        <x:v>2017-02-07</x:v>
      </x:c>
      <x:c r="I26" s="40" t="str"/>
      <x:c r="J26" s="47" t="str">
        <x:v>Surrey AND (council OR election)</x:v>
      </x:c>
      <x:c r="K26" s="40" t="str">
        <x:v>no</x:v>
      </x:c>
      <x:c r="L26" s="40" t="str">
        <x:v>yes</x:v>
      </x:c>
      <x:c r="M26" s="40" t="str">
        <x:v>exclude</x:v>
      </x:c>
      <x:c r="N26" s="40" t="str">
        <x:v>E5-NO-L-OR-N-RULE-MET</x:v>
      </x:c>
      <x:c r="O26" s="47" t="str">
        <x:v>Ask Barbara Keeley what keeps her awake at night and Labour’s shadow cabinet member for mental health and social care will tell you it’s the stories of people in “heartrending” situations whose care is being cut.</x:v>
      </x:c>
      <x:c r="P26" s="47" t="str">
        <x:v>include</x:v>
      </x:c>
      <x:c r="Q26" s="47" t="str">
        <x:v>E5-N2-POLICY-ISSUE</x:v>
      </x:c>
      <x:c r="R26" s="47" t="str">
        <x:v>Adult social care has risen up the political agenda after years of consecutive austerity cuts coupled with rising demand for services.</x:v>
      </x:c>
      <x:c r="S26" s="40" t="str">
        <x:v>no</x:v>
      </x:c>
      <x:c r="T26" s="40" t="str">
        <x:v>human_exclude__llm_include</x:v>
      </x:c>
      <x:c r="U26" s="40" t="str">
        <x:v>in_v1_excerpt</x:v>
      </x:c>
      <x:c r="V26" s="40" t="str">
        <x:v>True</x:v>
      </x:c>
      <x:c r="W26" s="41" t="str">
        <x:v>exclude</x:v>
      </x:c>
      <x:c r="X26" s="41" t="str">
        <x:v>N2</x:v>
      </x:c>
      <x:c r="Y26" s="41" t="str">
        <x:v>none</x:v>
      </x:c>
      <x:c r="Z26" s="41" t="str">
        <x:v>wrong_arm_rule</x:v>
      </x:c>
      <x:c r="AA26" s="41" t="str">
        <x:v>no</x:v>
      </x:c>
      <x:c r="AB26" s="41" t="str">
        <x:v>decision_tree_change</x:v>
      </x:c>
      <x:c r="AC26" s="41" t="str">
        <x:v>no</x:v>
      </x:c>
      <x:c r="AD26" s="49" t="str">
        <x:v>Ask Barbara Keeley what keeps her awake at night and Labour’s shadow cabinet member for mental health and social care will tell you it’s the stories of people in “heartrending” situations whose care is being cut.</x:v>
      </x:c>
      <x:c r="AE26" s="49" t="str">
        <x:v>The article is a national social-care funding interview. It could satisfy N2 in the national arm, but it contains no sampled Surrey L1-L4 link for this local-arm record.</x:v>
      </x:c>
      <x:c r="AF26" s="41" t="str">
        <x:v>AI-assisted development draft (researcher verification required)</x:v>
      </x:c>
      <x:c r="AG26" s="41" t="str">
        <x:v>2026-07-24</x:v>
      </x:c>
      <x:c r="AH26" s="42" t="str">
        <x:f>IF(B26&lt;&gt;"complete","",IF(OR(W26="",X26="",Y26="",Z26="",AA26="",AB26="",AD26="",AF26="",AG26=""),"MISSING REQUIRED FIELD","OK"))</x:f>
        <x:v>OK</x:v>
      </x:c>
    </x:row>
    <x:row r="27" ht="70" customHeight="1">
      <x:c r="A27" s="39" t="n">
        <x:v>22</x:v>
      </x:c>
      <x:c r="B27" s="40" t="str">
        <x:v>complete</x:v>
      </x:c>
      <x:c r="C27" s="40" t="str">
        <x:v>NEWS-guardian_api-6d0b3b8aedc2</x:v>
      </x:c>
      <x:c r="D27" s="40" t="str">
        <x:v>SCC-2017-05</x:v>
      </x:c>
      <x:c r="E27" s="40" t="str">
        <x:v>local</x:v>
      </x:c>
      <x:c r="F27" s="40" t="str">
        <x:v>guardian_api</x:v>
      </x:c>
      <x:c r="G27" s="47" t="str">
        <x:v>Millwall admit council scheme could force club to leave Lewisham</x:v>
      </x:c>
      <x:c r="H27" s="40" t="str">
        <x:v>2017-01-05</x:v>
      </x:c>
      <x:c r="I27" s="40" t="str"/>
      <x:c r="J27" s="47" t="str">
        <x:v>Surrey AND (council OR election)</x:v>
      </x:c>
      <x:c r="K27" s="40" t="str">
        <x:v>no</x:v>
      </x:c>
      <x:c r="L27" s="40" t="str">
        <x:v>yes</x:v>
      </x:c>
      <x:c r="M27" s="40" t="str">
        <x:v>exclude</x:v>
      </x:c>
      <x:c r="N27" s="40" t="str">
        <x:v>E5-NO-L-OR-N-RULE-MET</x:v>
      </x:c>
      <x:c r="O27" s="47" t="str">
        <x:v>Millwall Football Club have admitted for the first time that they may be forced to leave their south London home and relocate to Kent should the seizure of their land go ahead.</x:v>
      </x:c>
      <x:c r="P27" s="47" t="str">
        <x:v>include</x:v>
      </x:c>
      <x:c r="Q27" s="47" t="str">
        <x:v>E5-L3-COUNCIL-ISSUE</x:v>
      </x:c>
      <x:c r="R27" s="47" t="str">
        <x:v>Lewisham council’s plan to compulsorily purchase areas around the Den and sell them on to a mysterious offshore developer with connections to the current Labour administration has already drawn both disbelief and mass protest.</x:v>
      </x:c>
      <x:c r="S27" s="40" t="str">
        <x:v>no</x:v>
      </x:c>
      <x:c r="T27" s="40" t="str">
        <x:v>human_exclude__llm_include</x:v>
      </x:c>
      <x:c r="U27" s="40" t="str">
        <x:v>in_v1_excerpt</x:v>
      </x:c>
      <x:c r="V27" s="40" t="str">
        <x:v>True</x:v>
      </x:c>
      <x:c r="W27" s="41" t="str">
        <x:v>exclude</x:v>
      </x:c>
      <x:c r="X27" s="41" t="str">
        <x:v>L3</x:v>
      </x:c>
      <x:c r="Y27" s="41" t="str">
        <x:v>none</x:v>
      </x:c>
      <x:c r="Z27" s="41" t="str">
        <x:v>local_effect_not_established</x:v>
      </x:c>
      <x:c r="AA27" s="41" t="str">
        <x:v>no</x:v>
      </x:c>
      <x:c r="AB27" s="41" t="str">
        <x:v>prompt_clarification</x:v>
      </x:c>
      <x:c r="AC27" s="41" t="str">
        <x:v>no</x:v>
      </x:c>
      <x:c r="AD27" s="49" t="str">
        <x:v>Millwall Football Club have admitted for the first time that they may be forced to leave their south London home and relocate to Kent should the seizure of their land go ahead.</x:v>
      </x:c>
      <x:c r="AE27" s="49" t="str">
        <x:v>The compulsory-purchase dispute concerns Lewisham council and Millwall in south London. It is not a Surrey council decision and cannot satisfy local L3.</x:v>
      </x:c>
      <x:c r="AF27" s="41" t="str">
        <x:v>AI-assisted development draft (researcher verification required)</x:v>
      </x:c>
      <x:c r="AG27" s="41" t="str">
        <x:v>2026-07-24</x:v>
      </x:c>
      <x:c r="AH27" s="42" t="str">
        <x:f>IF(B27&lt;&gt;"complete","",IF(OR(W27="",X27="",Y27="",Z27="",AA27="",AB27="",AD27="",AF27="",AG27=""),"MISSING REQUIRED FIELD","OK"))</x:f>
        <x:v>OK</x:v>
      </x:c>
    </x:row>
    <x:row r="28" ht="70" customHeight="1">
      <x:c r="A28" s="39" t="n">
        <x:v>23</x:v>
      </x:c>
      <x:c r="B28" s="40" t="str">
        <x:v>complete</x:v>
      </x:c>
      <x:c r="C28" s="40" t="str">
        <x:v>NEWS-guardian_api-6d2d7efbb858</x:v>
      </x:c>
      <x:c r="D28" s="40" t="str">
        <x:v>SCC-2013-05</x:v>
      </x:c>
      <x:c r="E28" s="40" t="str">
        <x:v>local</x:v>
      </x:c>
      <x:c r="F28" s="40" t="str">
        <x:v>guardian_api</x:v>
      </x:c>
      <x:c r="G28" s="47" t="str">
        <x:v>Spirit of Margaret Thatcher invoked by Tory backers of gay marriage</x:v>
      </x:c>
      <x:c r="H28" s="40" t="str">
        <x:v>2013-02-04</x:v>
      </x:c>
      <x:c r="I28" s="40" t="str"/>
      <x:c r="J28" s="47" t="str">
        <x:v>Surrey AND (council OR election)</x:v>
      </x:c>
      <x:c r="K28" s="40" t="str">
        <x:v>no</x:v>
      </x:c>
      <x:c r="L28" s="40" t="str">
        <x:v>yes</x:v>
      </x:c>
      <x:c r="M28" s="40" t="str">
        <x:v>exclude</x:v>
      </x:c>
      <x:c r="N28" s="40" t="str">
        <x:v>E5-NO-L-OR-N-RULE-MET</x:v>
      </x:c>
      <x:c r="O28" s="47" t="str">
        <x:v>Tory supporters of equal marriage are making an eleventh hour plea to fellow Conservative MPs to vote in favour of reform by invoking the record of Margaret Thatcher, who supported the legalisation of homosexuality in the 1960s.</x:v>
      </x:c>
      <x:c r="P28" s="47" t="str">
        <x:v>include</x:v>
      </x:c>
      <x:c r="Q28" s="47" t="str">
        <x:v>E5-N1-PARTY-POLITICS</x:v>
      </x:c>
      <x:c r="R28" s="47" t="str">
        <x:v>up to half of the Tory parliamentary party's 303 MPs may fail to support the bill by voting against it or abstaining in the second reading, which is subject to a free vote</x:v>
      </x:c>
      <x:c r="S28" s="40" t="str">
        <x:v>no</x:v>
      </x:c>
      <x:c r="T28" s="40" t="str">
        <x:v>human_exclude__llm_include</x:v>
      </x:c>
      <x:c r="U28" s="40" t="str">
        <x:v>in_v1_excerpt</x:v>
      </x:c>
      <x:c r="V28" s="40" t="str">
        <x:v>True</x:v>
      </x:c>
      <x:c r="W28" s="41" t="str">
        <x:v>exclude</x:v>
      </x:c>
      <x:c r="X28" s="41" t="str">
        <x:v>N1</x:v>
      </x:c>
      <x:c r="Y28" s="41" t="str">
        <x:v>none</x:v>
      </x:c>
      <x:c r="Z28" s="41" t="str">
        <x:v>wrong_arm_rule</x:v>
      </x:c>
      <x:c r="AA28" s="41" t="str">
        <x:v>no</x:v>
      </x:c>
      <x:c r="AB28" s="41" t="str">
        <x:v>decision_tree_change</x:v>
      </x:c>
      <x:c r="AC28" s="41" t="str">
        <x:v>no</x:v>
      </x:c>
      <x:c r="AD28" s="49" t="str">
        <x:v>Tory supporters of equal marriage are making an eleventh hour plea to fellow Conservative MPs to vote in favour of reform by invoking the record of Margaret Thatcher, who supported the legalisation of homosexuality in the 1960s.</x:v>
      </x:c>
      <x:c r="AE28" s="49" t="str">
        <x:v>The article concerns national parliamentary politics and equal marriage. It could meet N1 in the national arm, but it contains no local Surrey linkage for this local-arm record.</x:v>
      </x:c>
      <x:c r="AF28" s="41" t="str">
        <x:v>AI-assisted development draft (researcher verification required)</x:v>
      </x:c>
      <x:c r="AG28" s="41" t="str">
        <x:v>2026-07-24</x:v>
      </x:c>
      <x:c r="AH28" s="42" t="str">
        <x:f>IF(B28&lt;&gt;"complete","",IF(OR(W28="",X28="",Y28="",Z28="",AA28="",AB28="",AD28="",AF28="",AG28=""),"MISSING REQUIRED FIELD","OK"))</x:f>
        <x:v>OK</x:v>
      </x:c>
    </x:row>
    <x:row r="29" ht="70" customHeight="1">
      <x:c r="A29" s="39" t="n">
        <x:v>24</x:v>
      </x:c>
      <x:c r="B29" s="40" t="str">
        <x:v>complete</x:v>
      </x:c>
      <x:c r="C29" s="40" t="str">
        <x:v>NEWS-guardian_api-775f95b2aee7</x:v>
      </x:c>
      <x:c r="D29" s="40" t="str">
        <x:v>ESWS-2026-05</x:v>
      </x:c>
      <x:c r="E29" s="40" t="str">
        <x:v>national</x:v>
      </x:c>
      <x:c r="F29" s="40" t="str">
        <x:v>guardian_api</x:v>
      </x:c>
      <x:c r="G29" s="47" t="str">
        <x:v>Tuesday briefing: What the BBC’s new crisis reveals about its failures – and future</x:v>
      </x:c>
      <x:c r="H29" s="40" t="str">
        <x:v>2025-11-11</x:v>
      </x:c>
      <x:c r="I29" s="40" t="str"/>
      <x:c r="J29" s="47" t="str">
        <x:v>"Reform UK"</x:v>
      </x:c>
      <x:c r="K29" s="40" t="str">
        <x:v>no</x:v>
      </x:c>
      <x:c r="L29" s="40" t="str">
        <x:v>no</x:v>
      </x:c>
      <x:c r="M29" s="40" t="str">
        <x:v>include</x:v>
      </x:c>
      <x:c r="N29" s="40" t="str">
        <x:v>E5-N3-REFORM-GROWTH</x:v>
      </x:c>
      <x:c r="O29" s="47" t="str">
        <x:v>Michael says this poses a question for the government: “With Reform UK continuing to rise in the polls, and political attacks on the BBC increasing, will the government decide it needs to defend and protect the corporation’s independence in this increasingly hostile environment?” The risk of Labour leaning into a populist anti-BBC sentiment is unlikely: it would be seismic, he tells me, for the government to scrap the licence fee.</x:v>
      </x:c>
      <x:c r="P29" s="47" t="str">
        <x:v>exclude</x:v>
      </x:c>
      <x:c r="Q29" s="47" t="str">
        <x:v>E5-NO-L-OR-N-RULE-MET</x:v>
      </x:c>
      <x:c r="R29" s="47" t="str"/>
      <x:c r="S29" s="40" t="str">
        <x:v>yes</x:v>
      </x:c>
      <x:c r="T29" s="40" t="str">
        <x:v>human_include__llm_exclude</x:v>
      </x:c>
      <x:c r="U29" s="40" t="str">
        <x:v>full_text_only</x:v>
      </x:c>
      <x:c r="V29" s="40" t="str">
        <x:v>True</x:v>
      </x:c>
      <x:c r="W29" s="41" t="str">
        <x:v>include</x:v>
      </x:c>
      <x:c r="X29" s="41" t="str">
        <x:v>N3</x:v>
      </x:c>
      <x:c r="Y29" s="41" t="str">
        <x:v>evidence_beyond_excerpt</x:v>
      </x:c>
      <x:c r="Z29" s="41" t="str">
        <x:v>missed_qualifying_evidence</x:v>
      </x:c>
      <x:c r="AA29" s="41" t="str">
        <x:v>no</x:v>
      </x:c>
      <x:c r="AB29" s="41" t="str">
        <x:v>input_fix</x:v>
      </x:c>
      <x:c r="AC29" s="41" t="str">
        <x:v>no</x:v>
      </x:c>
      <x:c r="AD29" s="49" t="str">
        <x:v>Michael says this poses a question for the government: “With Reform UK continuing to rise in the polls, and political attacks on the BBC increasing, will the government decide it needs to defend and protect the corporation’s independence in this increasingly hostile environment?” The risk of Labour leaning into a populist anti-BBC sentiment is unlikely: it would be seismic, he tells me, for the government to scrap the licence fee.</x:v>
      </x:c>
      <x:c r="AE29" s="49" t="str">
        <x:v>The full briefing explicitly links Reform UK's rise in the polls to political pressure on the BBC and government choices. This is direct Reform growth evidence under N3.</x:v>
      </x:c>
      <x:c r="AF29" s="41" t="str">
        <x:v>AI-assisted development draft (researcher verification required)</x:v>
      </x:c>
      <x:c r="AG29" s="41" t="str">
        <x:v>2026-07-24</x:v>
      </x:c>
      <x:c r="AH29" s="42" t="str">
        <x:f>IF(B29&lt;&gt;"complete","",IF(OR(W29="",X29="",Y29="",Z29="",AA29="",AB29="",AD29="",AF29="",AG29=""),"MISSING REQUIRED FIELD","OK"))</x:f>
        <x:v>OK</x:v>
      </x:c>
    </x:row>
    <x:row r="30" ht="70" customHeight="1">
      <x:c r="A30" s="39" t="n">
        <x:v>25</x:v>
      </x:c>
      <x:c r="B30" s="40" t="str">
        <x:v>complete</x:v>
      </x:c>
      <x:c r="C30" s="40" t="str">
        <x:v>NEWS-guardian_api-7cf057334d25</x:v>
      </x:c>
      <x:c r="D30" s="40" t="str">
        <x:v>SCC-2021-05</x:v>
      </x:c>
      <x:c r="E30" s="40" t="str">
        <x:v>national</x:v>
      </x:c>
      <x:c r="F30" s="40" t="str">
        <x:v>guardian_api</x:v>
      </x:c>
      <x:c r="G30" s="47" t="str">
        <x:v>When and how will I get a Covid vaccine in the UK?</x:v>
      </x:c>
      <x:c r="H30" s="40" t="str">
        <x:v>2021-01-18</x:v>
      </x:c>
      <x:c r="I30" s="40" t="str"/>
      <x:c r="J30" s="47" t="str">
        <x:v>NHS AND "public services"</x:v>
      </x:c>
      <x:c r="K30" s="40" t="str">
        <x:v>no</x:v>
      </x:c>
      <x:c r="L30" s="40" t="str">
        <x:v>no</x:v>
      </x:c>
      <x:c r="M30" s="40" t="str">
        <x:v>include</x:v>
      </x:c>
      <x:c r="N30" s="40" t="str">
        <x:v>E5-N2-POLICY-ISSUE</x:v>
      </x:c>
      <x:c r="O30" s="47" t="str">
        <x:v>When and how will I be able to get a Covid vaccine?</x:v>
      </x:c>
      <x:c r="P30" s="47" t="str">
        <x:v>exclude</x:v>
      </x:c>
      <x:c r="Q30" s="47" t="str">
        <x:v>E5-NO-L-OR-N-RULE-MET</x:v>
      </x:c>
      <x:c r="R30" s="47" t="str"/>
      <x:c r="S30" s="40" t="str">
        <x:v>yes</x:v>
      </x:c>
      <x:c r="T30" s="40" t="str">
        <x:v>human_include__llm_exclude</x:v>
      </x:c>
      <x:c r="U30" s="40" t="str">
        <x:v>in_v1_excerpt</x:v>
      </x:c>
      <x:c r="V30" s="40" t="str">
        <x:v>True</x:v>
      </x:c>
      <x:c r="W30" s="41" t="str">
        <x:v>include</x:v>
      </x:c>
      <x:c r="X30" s="41" t="str">
        <x:v>N2</x:v>
      </x:c>
      <x:c r="Y30" s="41" t="str">
        <x:v>none</x:v>
      </x:c>
      <x:c r="Z30" s="41" t="str">
        <x:v>missed_qualifying_evidence</x:v>
      </x:c>
      <x:c r="AA30" s="41" t="str">
        <x:v>no</x:v>
      </x:c>
      <x:c r="AB30" s="41" t="str">
        <x:v>prompt_clarification</x:v>
      </x:c>
      <x:c r="AC30" s="41" t="str">
        <x:v>no</x:v>
      </x:c>
      <x:c r="AD30" s="49" t="str">
        <x:v>When and how will I be able to get a Covid vaccine?</x:v>
      </x:c>
      <x:c r="AE30" s="49" t="str">
        <x:v>The article explains the UK government's Covid vaccination programme, priority groups and NHS delivery. It directly satisfies the NHS/public-services branch of N2.</x:v>
      </x:c>
      <x:c r="AF30" s="41" t="str">
        <x:v>AI-assisted development draft (researcher verification required)</x:v>
      </x:c>
      <x:c r="AG30" s="41" t="str">
        <x:v>2026-07-24</x:v>
      </x:c>
      <x:c r="AH30" s="42" t="str">
        <x:f>IF(B30&lt;&gt;"complete","",IF(OR(W30="",X30="",Y30="",Z30="",AA30="",AB30="",AD30="",AF30="",AG30=""),"MISSING REQUIRED FIELD","OK"))</x:f>
        <x:v>OK</x:v>
      </x:c>
    </x:row>
    <x:row r="31" ht="70" customHeight="1">
      <x:c r="A31" s="39" t="n">
        <x:v>26</x:v>
      </x:c>
      <x:c r="B31" s="40" t="str">
        <x:v>complete</x:v>
      </x:c>
      <x:c r="C31" s="40" t="str">
        <x:v>NEWS-guardian_api-87c983cdc10f</x:v>
      </x:c>
      <x:c r="D31" s="40" t="str">
        <x:v>SCC-2021-05</x:v>
      </x:c>
      <x:c r="E31" s="40" t="str">
        <x:v>national</x:v>
      </x:c>
      <x:c r="F31" s="40" t="str">
        <x:v>guardian_api</x:v>
      </x:c>
      <x:c r="G31" s="47" t="str">
        <x:v>The going of Cummings seems not to be the triumph he expected</x:v>
      </x:c>
      <x:c r="H31" s="40" t="str">
        <x:v>2020-11-13</x:v>
      </x:c>
      <x:c r="I31" s="40" t="str"/>
      <x:c r="J31" s="47" t="str">
        <x:v>"the government" AND (performance OR record OR criticised)</x:v>
      </x:c>
      <x:c r="K31" s="40" t="str">
        <x:v>no</x:v>
      </x:c>
      <x:c r="L31" s="40" t="str">
        <x:v>no</x:v>
      </x:c>
      <x:c r="M31" s="40" t="str">
        <x:v>include</x:v>
      </x:c>
      <x:c r="N31" s="40" t="str">
        <x:v>E5-N1-PARTY-POLITICS</x:v>
      </x:c>
      <x:c r="O31" s="47" t="str">
        <x:v>Now somebody else will become Boris Johnson’s best known adviser.</x:v>
      </x:c>
      <x:c r="P31" s="47" t="str">
        <x:v>exclude</x:v>
      </x:c>
      <x:c r="Q31" s="47" t="str">
        <x:v>E5-NO-L-OR-N-RULE-MET</x:v>
      </x:c>
      <x:c r="R31" s="47" t="str">
        <x:v>Now somebody else will become Boris Johnson’s best known adviser.</x:v>
      </x:c>
      <x:c r="S31" s="40" t="str">
        <x:v>no</x:v>
      </x:c>
      <x:c r="T31" s="40" t="str">
        <x:v>human_include__llm_exclude</x:v>
      </x:c>
      <x:c r="U31" s="40" t="str">
        <x:v>in_v1_excerpt</x:v>
      </x:c>
      <x:c r="V31" s="40" t="str">
        <x:v>True</x:v>
      </x:c>
      <x:c r="W31" s="41" t="str">
        <x:v>include</x:v>
      </x:c>
      <x:c r="X31" s="41" t="str">
        <x:v>N1</x:v>
      </x:c>
      <x:c r="Y31" s="41" t="str">
        <x:v>none</x:v>
      </x:c>
      <x:c r="Z31" s="41" t="str">
        <x:v>missed_qualifying_evidence</x:v>
      </x:c>
      <x:c r="AA31" s="41" t="str">
        <x:v>no</x:v>
      </x:c>
      <x:c r="AB31" s="41" t="str">
        <x:v>prompt_clarification</x:v>
      </x:c>
      <x:c r="AC31" s="41" t="str">
        <x:v>no</x:v>
      </x:c>
      <x:c r="AD31" s="49" t="str">
        <x:v>Now somebody else will become Boris Johnson’s best known adviser.</x:v>
      </x:c>
      <x:c r="AE31" s="49" t="str">
        <x:v>The article analyses Dominic Cummings's departure and Boris Johnson's Downing Street operation. This is substantive government-performance coverage under N1.</x:v>
      </x:c>
      <x:c r="AF31" s="41" t="str">
        <x:v>AI-assisted development draft (researcher verification required)</x:v>
      </x:c>
      <x:c r="AG31" s="41" t="str">
        <x:v>2026-07-24</x:v>
      </x:c>
      <x:c r="AH31" s="42" t="str">
        <x:f>IF(B31&lt;&gt;"complete","",IF(OR(W31="",X31="",Y31="",Z31="",AA31="",AB31="",AD31="",AF31="",AG31=""),"MISSING REQUIRED FIELD","OK"))</x:f>
        <x:v>OK</x:v>
      </x:c>
    </x:row>
    <x:row r="32" ht="70" customHeight="1">
      <x:c r="A32" s="39" t="n">
        <x:v>27</x:v>
      </x:c>
      <x:c r="B32" s="40" t="str">
        <x:v>complete</x:v>
      </x:c>
      <x:c r="C32" s="40" t="str">
        <x:v>NEWS-guardian_api-88e751d96451</x:v>
      </x:c>
      <x:c r="D32" s="40" t="str">
        <x:v>SCC-2017-05</x:v>
      </x:c>
      <x:c r="E32" s="40" t="str">
        <x:v>national</x:v>
      </x:c>
      <x:c r="F32" s="40" t="str">
        <x:v>guardian_api</x:v>
      </x:c>
      <x:c r="G32" s="47" t="str">
        <x:v>'I feel genuinely sad' – European postgrads discuss Brexit</x:v>
      </x:c>
      <x:c r="H32" s="40" t="str">
        <x:v>2016-11-09</x:v>
      </x:c>
      <x:c r="I32" s="40" t="str"/>
      <x:c r="J32" s="47" t="str">
        <x:v>"the government" AND (performance OR record OR criticised)</x:v>
      </x:c>
      <x:c r="K32" s="40" t="str">
        <x:v>no</x:v>
      </x:c>
      <x:c r="L32" s="40" t="str">
        <x:v>no</x:v>
      </x:c>
      <x:c r="M32" s="40" t="str">
        <x:v>include</x:v>
      </x:c>
      <x:c r="N32" s="40" t="str">
        <x:v>E5-N1-PARTY-POLITICS</x:v>
      </x:c>
      <x:c r="O32" s="47" t="str">
        <x:v>The impact of the Brexit vote on higher education is too early to call.</x:v>
      </x:c>
      <x:c r="P32" s="47" t="str">
        <x:v>exclude</x:v>
      </x:c>
      <x:c r="Q32" s="47" t="str">
        <x:v>E5-NO-L-OR-N-RULE-MET</x:v>
      </x:c>
      <x:c r="R32" s="47" t="str"/>
      <x:c r="S32" s="40" t="str">
        <x:v>yes</x:v>
      </x:c>
      <x:c r="T32" s="40" t="str">
        <x:v>human_include__llm_exclude</x:v>
      </x:c>
      <x:c r="U32" s="40" t="str">
        <x:v>in_v1_excerpt</x:v>
      </x:c>
      <x:c r="V32" s="40" t="str">
        <x:v>True</x:v>
      </x:c>
      <x:c r="W32" s="41" t="str">
        <x:v>include</x:v>
      </x:c>
      <x:c r="X32" s="41" t="str">
        <x:v>N1</x:v>
      </x:c>
      <x:c r="Y32" s="41" t="str">
        <x:v>none</x:v>
      </x:c>
      <x:c r="Z32" s="41" t="str">
        <x:v>missed_qualifying_evidence</x:v>
      </x:c>
      <x:c r="AA32" s="41" t="str">
        <x:v>no</x:v>
      </x:c>
      <x:c r="AB32" s="41" t="str">
        <x:v>prompt_clarification</x:v>
      </x:c>
      <x:c r="AC32" s="41" t="str">
        <x:v>no</x:v>
      </x:c>
      <x:c r="AD32" s="49" t="str">
        <x:v>The impact of the Brexit vote on higher education is too early to call.</x:v>
      </x:c>
      <x:c r="AE32" s="49" t="str">
        <x:v>The article examines the effect of the Brexit vote on UK universities and European students. Brexit and its domestic political consequences fall within UK national politics under N1.</x:v>
      </x:c>
      <x:c r="AF32" s="41" t="str">
        <x:v>AI-assisted development draft (researcher verification required)</x:v>
      </x:c>
      <x:c r="AG32" s="41" t="str">
        <x:v>2026-07-24</x:v>
      </x:c>
      <x:c r="AH32" s="42" t="str">
        <x:f>IF(B32&lt;&gt;"complete","",IF(OR(W32="",X32="",Y32="",Z32="",AA32="",AB32="",AD32="",AF32="",AG32=""),"MISSING REQUIRED FIELD","OK"))</x:f>
        <x:v>OK</x:v>
      </x:c>
    </x:row>
    <x:row r="33" ht="70" customHeight="1">
      <x:c r="A33" s="39" t="n">
        <x:v>28</x:v>
      </x:c>
      <x:c r="B33" s="40" t="str">
        <x:v>complete</x:v>
      </x:c>
      <x:c r="C33" s="40" t="str">
        <x:v>NEWS-guardian_api-8a849cd56bab</x:v>
      </x:c>
      <x:c r="D33" s="40" t="str">
        <x:v>SCC-2021-05</x:v>
      </x:c>
      <x:c r="E33" s="40" t="str">
        <x:v>national</x:v>
      </x:c>
      <x:c r="F33" s="40" t="str">
        <x:v>guardian_api</x:v>
      </x:c>
      <x:c r="G33" s="47" t="str">
        <x:v>Greece registers highest daily death toll – as it happened</x:v>
      </x:c>
      <x:c r="H33" s="40" t="str">
        <x:v>2020-11-08</x:v>
      </x:c>
      <x:c r="I33" s="40" t="str"/>
      <x:c r="J33" s="47" t="str">
        <x:v>"Reform UK"</x:v>
      </x:c>
      <x:c r="K33" s="40" t="str">
        <x:v>no</x:v>
      </x:c>
      <x:c r="L33" s="40" t="str">
        <x:v>no</x:v>
      </x:c>
      <x:c r="M33" s="40" t="str">
        <x:v>include</x:v>
      </x:c>
      <x:c r="N33" s="40" t="str">
        <x:v>E5-N3-REFORM-GROWTH</x:v>
      </x:c>
      <x:c r="O33" s="47" t="str">
        <x:v>Nigel Farage and his allies have relaunched their political party, encouraging people to walk past their local war memorial on Remembrance Sunday in a low-key anti-lockdown protest that marks a fresh attempt to restore its political relevance.</x:v>
      </x:c>
      <x:c r="P33" s="47" t="str">
        <x:v>exclude</x:v>
      </x:c>
      <x:c r="Q33" s="47" t="str">
        <x:v>E5-NO-L-OR-N-RULE-MET</x:v>
      </x:c>
      <x:c r="R33" s="47" t="str"/>
      <x:c r="S33" s="40" t="str">
        <x:v>yes</x:v>
      </x:c>
      <x:c r="T33" s="40" t="str">
        <x:v>human_include__llm_exclude</x:v>
      </x:c>
      <x:c r="U33" s="40" t="str">
        <x:v>full_text_only</x:v>
      </x:c>
      <x:c r="V33" s="40" t="str">
        <x:v>True</x:v>
      </x:c>
      <x:c r="W33" s="41" t="str">
        <x:v>include</x:v>
      </x:c>
      <x:c r="X33" s="41" t="str">
        <x:v>N3</x:v>
      </x:c>
      <x:c r="Y33" s="41" t="str">
        <x:v>evidence_beyond_excerpt</x:v>
      </x:c>
      <x:c r="Z33" s="41" t="str">
        <x:v>missed_qualifying_evidence</x:v>
      </x:c>
      <x:c r="AA33" s="41" t="str">
        <x:v>no</x:v>
      </x:c>
      <x:c r="AB33" s="41" t="str">
        <x:v>input_fix</x:v>
      </x:c>
      <x:c r="AC33" s="41" t="str">
        <x:v>no</x:v>
      </x:c>
      <x:c r="AD33" s="49" t="str">
        <x:v>Nigel Farage and his allies have relaunched their political party, encouraging people to walk past their local war memorial on Remembrance Sunday in a low-key anti-lockdown protest that marks a fresh attempt to restore its political relevance.</x:v>
      </x:c>
      <x:c r="AE33" s="49" t="str">
        <x:v>The live blog contains a substantive UK entry on Nigel Farage relaunching his party and attempting to restore its political relevance. That entry supplies N3 new-party evidence even though the blog also covers international Covid news.</x:v>
      </x:c>
      <x:c r="AF33" s="41" t="str">
        <x:v>AI-assisted development draft (researcher verification required)</x:v>
      </x:c>
      <x:c r="AG33" s="41" t="str">
        <x:v>2026-07-24</x:v>
      </x:c>
      <x:c r="AH33" s="42" t="str">
        <x:f>IF(B33&lt;&gt;"complete","",IF(OR(W33="",X33="",Y33="",Z33="",AA33="",AB33="",AD33="",AF33="",AG33=""),"MISSING REQUIRED FIELD","OK"))</x:f>
        <x:v>OK</x:v>
      </x:c>
    </x:row>
    <x:row r="34" ht="70" customHeight="1">
      <x:c r="A34" s="39" t="n">
        <x:v>29</x:v>
      </x:c>
      <x:c r="B34" s="40" t="str">
        <x:v>complete</x:v>
      </x:c>
      <x:c r="C34" s="40" t="str">
        <x:v>NEWS-guardian_api-8c28af0f119c</x:v>
      </x:c>
      <x:c r="D34" s="40" t="str">
        <x:v>ESWS-2026-05</x:v>
      </x:c>
      <x:c r="E34" s="40" t="str">
        <x:v>local</x:v>
      </x:c>
      <x:c r="F34" s="40" t="str">
        <x:v>guardian_api</x:v>
      </x:c>
      <x:c r="G34" s="47" t="str">
        <x:v>Badenoch says teaching boys about misogyny shouldn’t be a priority because migrants more dangerous to women and girls – UK politics live</x:v>
      </x:c>
      <x:c r="H34" s="40" t="str">
        <x:v>2025-12-18</x:v>
      </x:c>
      <x:c r="I34" s="40" t="str"/>
      <x:c r="J34" s="47" t="str">
        <x:v>"Reform UK" AND Surrey</x:v>
      </x:c>
      <x:c r="K34" s="40" t="str">
        <x:v>no</x:v>
      </x:c>
      <x:c r="L34" s="40" t="str">
        <x:v>yes</x:v>
      </x:c>
      <x:c r="M34" s="40" t="str">
        <x:v>exclude</x:v>
      </x:c>
      <x:c r="N34" s="40" t="str">
        <x:v>E5-NO-L-OR-N-RULE-MET</x:v>
      </x:c>
      <x:c r="O34" s="47" t="str">
        <x:v>Kemi Badenoch has been accused of weaponising violence against women and girls and using “dangerous” and “deeply inaccurate” claims in her response to the government’s plan to tackle the issue.</x:v>
      </x:c>
      <x:c r="P34" s="47" t="str">
        <x:v>include</x:v>
      </x:c>
      <x:c r="Q34" s="47" t="str">
        <x:v>E5-N1-PARTY-POLITICS</x:v>
      </x:c>
      <x:c r="R34" s="47" t="str">
        <x:v>dozens of Labour MPs signed a letter describing the move as “madness”</x:v>
      </x:c>
      <x:c r="S34" s="40" t="str">
        <x:v>no</x:v>
      </x:c>
      <x:c r="T34" s="40" t="str">
        <x:v>human_exclude__llm_include</x:v>
      </x:c>
      <x:c r="U34" s="40" t="str">
        <x:v>in_v1_excerpt</x:v>
      </x:c>
      <x:c r="V34" s="40" t="str">
        <x:v>True</x:v>
      </x:c>
      <x:c r="W34" s="41" t="str">
        <x:v>exclude</x:v>
      </x:c>
      <x:c r="X34" s="41" t="str">
        <x:v>N1</x:v>
      </x:c>
      <x:c r="Y34" s="41" t="str">
        <x:v>none</x:v>
      </x:c>
      <x:c r="Z34" s="41" t="str">
        <x:v>wrong_arm_rule</x:v>
      </x:c>
      <x:c r="AA34" s="41" t="str">
        <x:v>no</x:v>
      </x:c>
      <x:c r="AB34" s="41" t="str">
        <x:v>decision_tree_change</x:v>
      </x:c>
      <x:c r="AC34" s="41" t="str">
        <x:v>no</x:v>
      </x:c>
      <x:c r="AD34" s="49" t="str">
        <x:v>Kemi Badenoch has been accused of weaponising violence against women and girls and using “dangerous” and “deeply inaccurate” claims in her response to the government’s plan to tackle the issue.</x:v>
      </x:c>
      <x:c r="AE34" s="49" t="str">
        <x:v>The live blog is UK national party and government coverage. It contains no substantive sampled Surrey linkage and therefore fails the local-arm L1-L4 test.</x:v>
      </x:c>
      <x:c r="AF34" s="41" t="str">
        <x:v>AI-assisted development draft (researcher verification required)</x:v>
      </x:c>
      <x:c r="AG34" s="41" t="str">
        <x:v>2026-07-24</x:v>
      </x:c>
      <x:c r="AH34" s="42" t="str">
        <x:f>IF(B34&lt;&gt;"complete","",IF(OR(W34="",X34="",Y34="",Z34="",AA34="",AB34="",AD34="",AF34="",AG34=""),"MISSING REQUIRED FIELD","OK"))</x:f>
        <x:v>OK</x:v>
      </x:c>
    </x:row>
    <x:row r="35" ht="70" customHeight="1">
      <x:c r="A35" s="39" t="n">
        <x:v>30</x:v>
      </x:c>
      <x:c r="B35" s="40" t="str">
        <x:v>complete</x:v>
      </x:c>
      <x:c r="C35" s="40" t="str">
        <x:v>NEWS-guardian_api-8e547ee6efe6</x:v>
      </x:c>
      <x:c r="D35" s="40" t="str">
        <x:v>ESWS-2026-05</x:v>
      </x:c>
      <x:c r="E35" s="40" t="str">
        <x:v>local</x:v>
      </x:c>
      <x:c r="F35" s="40" t="str">
        <x:v>guardian_api</x:v>
      </x:c>
      <x:c r="G35" s="47" t="str">
        <x:v>UK politics: Farage insults female reporter as Braverman says Reform UK wants to scrap Equality Act – as it happened</x:v>
      </x:c>
      <x:c r="H35" s="40" t="str">
        <x:v>2026-02-17</x:v>
      </x:c>
      <x:c r="I35" s="40" t="str"/>
      <x:c r="J35" s="47" t="str">
        <x:v>"Reform UK" AND Surrey</x:v>
      </x:c>
      <x:c r="K35" s="40" t="str">
        <x:v>no</x:v>
      </x:c>
      <x:c r="L35" s="40" t="str">
        <x:v>yes</x:v>
      </x:c>
      <x:c r="M35" s="40" t="str">
        <x:v>exclude</x:v>
      </x:c>
      <x:c r="N35" s="40" t="str">
        <x:v>E5-NO-L-OR-N-RULE-MET</x:v>
      </x:c>
      <x:c r="O35" s="47" t="str">
        <x:v>Nigel Farage has unveiled the first part of Reform UK’s frontbench team, saying it shows that the party is no longer reliant entirely on him – while also warning that he will not tolerate any dissent from his colleagues.</x:v>
      </x:c>
      <x:c r="P35" s="47" t="str">
        <x:v>include</x:v>
      </x:c>
      <x:c r="Q35" s="47" t="str">
        <x:v>E5-N3-REFORM-GROWTH</x:v>
      </x:c>
      <x:c r="R35" s="47" t="str">
        <x:v>Nigel Farage has unveiled the first part of Reform UK’s frontbench team, saying it shows that the party is no longer reliant entirely on him</x:v>
      </x:c>
      <x:c r="S35" s="40" t="str">
        <x:v>no</x:v>
      </x:c>
      <x:c r="T35" s="40" t="str">
        <x:v>human_exclude__llm_include</x:v>
      </x:c>
      <x:c r="U35" s="40" t="str">
        <x:v>in_v1_excerpt</x:v>
      </x:c>
      <x:c r="V35" s="40" t="str">
        <x:v>True</x:v>
      </x:c>
      <x:c r="W35" s="41" t="str">
        <x:v>exclude</x:v>
      </x:c>
      <x:c r="X35" s="41" t="str">
        <x:v>N3</x:v>
      </x:c>
      <x:c r="Y35" s="41" t="str">
        <x:v>none</x:v>
      </x:c>
      <x:c r="Z35" s="41" t="str">
        <x:v>wrong_arm_rule</x:v>
      </x:c>
      <x:c r="AA35" s="41" t="str">
        <x:v>no</x:v>
      </x:c>
      <x:c r="AB35" s="41" t="str">
        <x:v>decision_tree_change</x:v>
      </x:c>
      <x:c r="AC35" s="41" t="str">
        <x:v>no</x:v>
      </x:c>
      <x:c r="AD35" s="49" t="str">
        <x:v>Nigel Farage has unveiled the first part of Reform UK’s frontbench team, saying it shows that the party is no longer reliant entirely on him – while also warning that he will not tolerate any dissent from his colleagues.</x:v>
      </x:c>
      <x:c r="AE35" s="49" t="str">
        <x:v>The live blog contains strong national Reform UK coverage, but the record is local-arm. A historical passing reference to an unnamed Surrey councillor does not satisfy L1-L4.</x:v>
      </x:c>
      <x:c r="AF35" s="41" t="str">
        <x:v>AI-assisted development draft (researcher verification required)</x:v>
      </x:c>
      <x:c r="AG35" s="41" t="str">
        <x:v>2026-07-24</x:v>
      </x:c>
      <x:c r="AH35" s="42" t="str">
        <x:f>IF(B35&lt;&gt;"complete","",IF(OR(W35="",X35="",Y35="",Z35="",AA35="",AB35="",AD35="",AF35="",AG35=""),"MISSING REQUIRED FIELD","OK"))</x:f>
        <x:v>OK</x:v>
      </x:c>
    </x:row>
    <x:row r="36" ht="70" customHeight="1">
      <x:c r="A36" s="39" t="n">
        <x:v>31</x:v>
      </x:c>
      <x:c r="B36" s="40" t="str">
        <x:v>complete</x:v>
      </x:c>
      <x:c r="C36" s="40" t="str">
        <x:v>NEWS-guardian_api-8f21ed1fa60a</x:v>
      </x:c>
      <x:c r="D36" s="40" t="str">
        <x:v>SCC-2021-05</x:v>
      </x:c>
      <x:c r="E36" s="40" t="str">
        <x:v>national</x:v>
      </x:c>
      <x:c r="F36" s="40" t="str">
        <x:v>guardian_api</x:v>
      </x:c>
      <x:c r="G36" s="47" t="str">
        <x:v>Dominic Cummings to leave No 10 with immediate effect  – as it happened</x:v>
      </x:c>
      <x:c r="H36" s="40"/>
      <x:c r="I36" s="40" t="str"/>
      <x:c r="J36" s="47" t="str">
        <x:v>"local government" AND funding</x:v>
      </x:c>
      <x:c r="K36" s="40" t="str">
        <x:v>no</x:v>
      </x:c>
      <x:c r="L36" s="40" t="str">
        <x:v>no</x:v>
      </x:c>
      <x:c r="M36" s="40" t="str">
        <x:v>include</x:v>
      </x:c>
      <x:c r="N36" s="40" t="str">
        <x:v>E5-N1-PARTY-POLITICS</x:v>
      </x:c>
      <x:c r="O36" s="47" t="str">
        <x:v>BBC’s Newsnight’s take on the reported acrimony between Boris Johnson and his advisers.</x:v>
      </x:c>
      <x:c r="P36" s="47" t="str">
        <x:v>exclude</x:v>
      </x:c>
      <x:c r="Q36" s="47" t="str">
        <x:v>E5-NO-L-OR-N-RULE-MET</x:v>
      </x:c>
      <x:c r="R36" s="47" t="str"/>
      <x:c r="S36" s="40" t="str">
        <x:v>yes</x:v>
      </x:c>
      <x:c r="T36" s="40" t="str">
        <x:v>human_include__llm_exclude</x:v>
      </x:c>
      <x:c r="U36" s="40" t="str">
        <x:v>in_v1_excerpt</x:v>
      </x:c>
      <x:c r="V36" s="40" t="str">
        <x:v>True</x:v>
      </x:c>
      <x:c r="W36" s="41" t="str">
        <x:v>include</x:v>
      </x:c>
      <x:c r="X36" s="41" t="str">
        <x:v>N1</x:v>
      </x:c>
      <x:c r="Y36" s="41" t="str">
        <x:v>none</x:v>
      </x:c>
      <x:c r="Z36" s="41" t="str">
        <x:v>missed_qualifying_evidence</x:v>
      </x:c>
      <x:c r="AA36" s="41" t="str">
        <x:v>no</x:v>
      </x:c>
      <x:c r="AB36" s="41" t="str">
        <x:v>prompt_clarification</x:v>
      </x:c>
      <x:c r="AC36" s="41" t="str">
        <x:v>no</x:v>
      </x:c>
      <x:c r="AD36" s="49" t="str">
        <x:v>BBC’s Newsnight’s take on the reported acrimony between Boris Johnson and his advisers.</x:v>
      </x:c>
      <x:c r="AE36" s="49" t="str">
        <x:v>The live blog directly covers senior Downing Street advisers, Boris Johnson and the operation of government. This is N1 government-performance coverage.</x:v>
      </x:c>
      <x:c r="AF36" s="41" t="str">
        <x:v>AI-assisted development draft (researcher verification required)</x:v>
      </x:c>
      <x:c r="AG36" s="41" t="str">
        <x:v>2026-07-24</x:v>
      </x:c>
      <x:c r="AH36" s="42" t="str">
        <x:f>IF(B36&lt;&gt;"complete","",IF(OR(W36="",X36="",Y36="",Z36="",AA36="",AB36="",AD36="",AF36="",AG36=""),"MISSING REQUIRED FIELD","OK"))</x:f>
        <x:v>OK</x:v>
      </x:c>
    </x:row>
    <x:row r="37" ht="70" customHeight="1">
      <x:c r="A37" s="39" t="n">
        <x:v>32</x:v>
      </x:c>
      <x:c r="B37" s="40" t="str">
        <x:v>complete</x:v>
      </x:c>
      <x:c r="C37" s="40" t="str">
        <x:v>NEWS-guardian_api-8f8e97810c4d</x:v>
      </x:c>
      <x:c r="D37" s="40" t="str">
        <x:v>SCC-2021-05</x:v>
      </x:c>
      <x:c r="E37" s="40" t="str">
        <x:v>local</x:v>
      </x:c>
      <x:c r="F37" s="40" t="str">
        <x:v>guardian_api</x:v>
      </x:c>
      <x:c r="G37" s="47" t="str">
        <x:v>Covid rules out Boxing Day hunts and parades amid uncertain future</x:v>
      </x:c>
      <x:c r="H37" s="40" t="str">
        <x:v>2020-12-26</x:v>
      </x:c>
      <x:c r="I37" s="40" t="str"/>
      <x:c r="J37" s="47" t="str">
        <x:v>Surrey AND (council OR election)</x:v>
      </x:c>
      <x:c r="K37" s="40" t="str">
        <x:v>no</x:v>
      </x:c>
      <x:c r="L37" s="40" t="str">
        <x:v>yes</x:v>
      </x:c>
      <x:c r="M37" s="40" t="str">
        <x:v>exclude</x:v>
      </x:c>
      <x:c r="N37" s="40" t="str">
        <x:v>E5-NO-L-OR-N-RULE-MET</x:v>
      </x:c>
      <x:c r="O37" s="47" t="str">
        <x:v>Traditional Boxing Day hunts across large parts of the UK have been cancelled due to coronavirus restrictions, with those going ahead elsewhere not parading through town centres prior to their yuletide meet this year for the first time in recent history.</x:v>
      </x:c>
      <x:c r="P37" s="47" t="str">
        <x:v>include</x:v>
      </x:c>
      <x:c r="Q37" s="47" t="str">
        <x:v>E5-L3-COUNCIL-ISSUE</x:v>
      </x:c>
      <x:c r="R37" s="47" t="str">
        <x:v>Peterborough city council also banned hunting with hounds on its land in a symbolic vote</x:v>
      </x:c>
      <x:c r="S37" s="40" t="str">
        <x:v>no</x:v>
      </x:c>
      <x:c r="T37" s="40" t="str">
        <x:v>human_exclude__llm_include</x:v>
      </x:c>
      <x:c r="U37" s="40" t="str">
        <x:v>in_v1_excerpt</x:v>
      </x:c>
      <x:c r="V37" s="40" t="str">
        <x:v>True</x:v>
      </x:c>
      <x:c r="W37" s="41" t="str">
        <x:v>exclude</x:v>
      </x:c>
      <x:c r="X37" s="41" t="str">
        <x:v>L3</x:v>
      </x:c>
      <x:c r="Y37" s="41" t="str">
        <x:v>none</x:v>
      </x:c>
      <x:c r="Z37" s="41" t="str">
        <x:v>local_effect_not_established</x:v>
      </x:c>
      <x:c r="AA37" s="41" t="str">
        <x:v>no</x:v>
      </x:c>
      <x:c r="AB37" s="41" t="str">
        <x:v>prompt_clarification</x:v>
      </x:c>
      <x:c r="AC37" s="41" t="str">
        <x:v>no</x:v>
      </x:c>
      <x:c r="AD37" s="49" t="str">
        <x:v>Traditional Boxing Day hunts across large parts of the UK have been cancelled due to coronavirus restrictions, with those going ahead elsewhere not parading through town centres prior to their yuletide meet this year for the first time in recent history.</x:v>
      </x:c>
      <x:c r="AE37" s="49" t="str">
        <x:v>The article concerns hunting restrictions across Britain and a Peterborough council decision. It does not concern a Surrey council issue affecting a sampled area.</x:v>
      </x:c>
      <x:c r="AF37" s="41" t="str">
        <x:v>AI-assisted development draft (researcher verification required)</x:v>
      </x:c>
      <x:c r="AG37" s="41" t="str">
        <x:v>2026-07-24</x:v>
      </x:c>
      <x:c r="AH37" s="42" t="str">
        <x:f>IF(B37&lt;&gt;"complete","",IF(OR(W37="",X37="",Y37="",Z37="",AA37="",AB37="",AD37="",AF37="",AG37=""),"MISSING REQUIRED FIELD","OK"))</x:f>
        <x:v>OK</x:v>
      </x:c>
    </x:row>
    <x:row r="38" ht="70" customHeight="1">
      <x:c r="A38" s="39" t="n">
        <x:v>33</x:v>
      </x:c>
      <x:c r="B38" s="40" t="str">
        <x:v>complete</x:v>
      </x:c>
      <x:c r="C38" s="40" t="str">
        <x:v>NEWS-guardian_api-95d73413bd9b</x:v>
      </x:c>
      <x:c r="D38" s="40" t="str">
        <x:v>SCC-2017-05</x:v>
      </x:c>
      <x:c r="E38" s="40" t="str">
        <x:v>national</x:v>
      </x:c>
      <x:c r="F38" s="40" t="str">
        <x:v>guardian_api</x:v>
      </x:c>
      <x:c r="G38" s="47" t="str">
        <x:v>Farage: Boris Johnson comments to blame for Trump snubbing UK</x:v>
      </x:c>
      <x:c r="H38" s="40" t="str">
        <x:v>2016-11-11</x:v>
      </x:c>
      <x:c r="I38" s="40" t="str"/>
      <x:c r="J38" s="47" t="str">
        <x:v>UKIP</x:v>
      </x:c>
      <x:c r="K38" s="40" t="str">
        <x:v>no</x:v>
      </x:c>
      <x:c r="L38" s="40" t="str">
        <x:v>no</x:v>
      </x:c>
      <x:c r="M38" s="40" t="str">
        <x:v>include</x:v>
      </x:c>
      <x:c r="N38" s="40" t="str">
        <x:v>E5-N3-REFORM-GROWTH</x:v>
      </x:c>
      <x:c r="O38" s="47" t="str">
        <x:v>Nigel Farage has redoubled his efforts to become irritant-in-chief to British ministers in the wake of Donald Trump’s election by suggesting their earlier criticisms of the president-elect could have meant he delayed speaking to Theresa May.</x:v>
      </x:c>
      <x:c r="P38" s="47" t="str">
        <x:v>exclude</x:v>
      </x:c>
      <x:c r="Q38" s="47" t="str">
        <x:v>E5-NO-L-OR-N-RULE-MET</x:v>
      </x:c>
      <x:c r="R38" s="47" t="str">
        <x:v>Nigel Farage has redoubled his efforts to become irritant-in-chief to British ministers in the wake of Donald Trump's election</x:v>
      </x:c>
      <x:c r="S38" s="40" t="str">
        <x:v>no</x:v>
      </x:c>
      <x:c r="T38" s="40" t="str">
        <x:v>human_include__llm_exclude</x:v>
      </x:c>
      <x:c r="U38" s="40" t="str">
        <x:v>in_v1_excerpt</x:v>
      </x:c>
      <x:c r="V38" s="40" t="str">
        <x:v>True</x:v>
      </x:c>
      <x:c r="W38" s="41" t="str">
        <x:v>include</x:v>
      </x:c>
      <x:c r="X38" s="41" t="str">
        <x:v>N1</x:v>
      </x:c>
      <x:c r="Y38" s="41" t="str">
        <x:v>none</x:v>
      </x:c>
      <x:c r="Z38" s="41" t="str">
        <x:v>missed_qualifying_evidence</x:v>
      </x:c>
      <x:c r="AA38" s="41" t="str">
        <x:v>yes</x:v>
      </x:c>
      <x:c r="AB38" s="41" t="str">
        <x:v>human_label_adjudication</x:v>
      </x:c>
      <x:c r="AC38" s="41" t="str">
        <x:v>no</x:v>
      </x:c>
      <x:c r="AD38" s="49" t="str">
        <x:v>Nigel Farage has redoubled his efforts to become irritant-in-chief to British ministers in the wake of Donald Trump’s election by suggesting their earlier criticisms of the president-elect could have meant he delayed speaking to Theresa May.</x:v>
      </x:c>
      <x:c r="AE38" s="49" t="str">
        <x:v>The article concerns Nigel Farage, Theresa May, Boris Johnson and UK relations with the incoming US administration. It clearly meets N1, but it is not primarily evidence of UKIP/Reform growth under N3.</x:v>
      </x:c>
      <x:c r="AF38" s="41" t="str">
        <x:v>AI-assisted development draft (researcher verification required)</x:v>
      </x:c>
      <x:c r="AG38" s="41" t="str">
        <x:v>2026-07-24</x:v>
      </x:c>
      <x:c r="AH38" s="42" t="str">
        <x:f>IF(B38&lt;&gt;"complete","",IF(OR(W38="",X38="",Y38="",Z38="",AA38="",AB38="",AD38="",AF38="",AG38=""),"MISSING REQUIRED FIELD","OK"))</x:f>
        <x:v>OK</x:v>
      </x:c>
    </x:row>
    <x:row r="39" ht="70" customHeight="1">
      <x:c r="A39" s="39" t="n">
        <x:v>34</x:v>
      </x:c>
      <x:c r="B39" s="40" t="str">
        <x:v>complete</x:v>
      </x:c>
      <x:c r="C39" s="40" t="str">
        <x:v>NEWS-guardian_api-97b3a5489c02</x:v>
      </x:c>
      <x:c r="D39" s="40" t="str">
        <x:v>SCC-2021-05</x:v>
      </x:c>
      <x:c r="E39" s="40" t="str">
        <x:v>national</x:v>
      </x:c>
      <x:c r="F39" s="40" t="str">
        <x:v>guardian_api</x:v>
      </x:c>
      <x:c r="G39" s="47" t="str">
        <x:v>UK Covid: surge testing ordered in two south London boroughs after South African variant found – as it happened</x:v>
      </x:c>
      <x:c r="H39" s="40" t="str">
        <x:v>2021-03-10</x:v>
      </x:c>
      <x:c r="I39" s="40" t="str"/>
      <x:c r="J39" s="47" t="str">
        <x:v>"cost of living"</x:v>
      </x:c>
      <x:c r="K39" s="40" t="str">
        <x:v>no</x:v>
      </x:c>
      <x:c r="L39" s="40" t="str">
        <x:v>no</x:v>
      </x:c>
      <x:c r="M39" s="40" t="str">
        <x:v>include</x:v>
      </x:c>
      <x:c r="N39" s="40" t="str">
        <x:v>E5-N2-POLICY-ISSUE</x:v>
      </x:c>
      <x:c r="O39" s="47" t="str">
        <x:v>(See 4.59pm.) Labour has written to Boris Johnson asking him to correct the record after Downing Street repeatedly refused to acknowledge that the prime minister was mistaken when he said the party had voted against an NHS pay deal.</x:v>
      </x:c>
      <x:c r="P39" s="47" t="str">
        <x:v>exclude</x:v>
      </x:c>
      <x:c r="Q39" s="47" t="str">
        <x:v>E5-NO-L-OR-N-RULE-MET</x:v>
      </x:c>
      <x:c r="R39" s="47" t="str"/>
      <x:c r="S39" s="40" t="str">
        <x:v>yes</x:v>
      </x:c>
      <x:c r="T39" s="40" t="str">
        <x:v>human_include__llm_exclude</x:v>
      </x:c>
      <x:c r="U39" s="40" t="str">
        <x:v>in_v1_excerpt</x:v>
      </x:c>
      <x:c r="V39" s="40" t="str">
        <x:v>True</x:v>
      </x:c>
      <x:c r="W39" s="41" t="str">
        <x:v>include</x:v>
      </x:c>
      <x:c r="X39" s="41" t="str">
        <x:v>N2</x:v>
      </x:c>
      <x:c r="Y39" s="41" t="str">
        <x:v>none</x:v>
      </x:c>
      <x:c r="Z39" s="41" t="str">
        <x:v>missed_qualifying_evidence</x:v>
      </x:c>
      <x:c r="AA39" s="41" t="str">
        <x:v>no</x:v>
      </x:c>
      <x:c r="AB39" s="41" t="str">
        <x:v>prompt_clarification</x:v>
      </x:c>
      <x:c r="AC39" s="41" t="str">
        <x:v>no</x:v>
      </x:c>
      <x:c r="AD39" s="49" t="str">
        <x:v>(See 4.59pm.) Labour has written to Boris Johnson asking him to correct the record after Downing Street repeatedly refused to acknowledge that the prime minister was mistaken when he said the party had voted against an NHS pay deal.</x:v>
      </x:c>
      <x:c r="AE39" s="49" t="str">
        <x:v>The live blog substantively discusses UK Covid testing, vaccination policy and an NHS pay dispute. These are NHS/public-service issues under N2.</x:v>
      </x:c>
      <x:c r="AF39" s="41" t="str">
        <x:v>AI-assisted development draft (researcher verification required)</x:v>
      </x:c>
      <x:c r="AG39" s="41" t="str">
        <x:v>2026-07-24</x:v>
      </x:c>
      <x:c r="AH39" s="42" t="str">
        <x:f>IF(B39&lt;&gt;"complete","",IF(OR(W39="",X39="",Y39="",Z39="",AA39="",AB39="",AD39="",AF39="",AG39=""),"MISSING REQUIRED FIELD","OK"))</x:f>
        <x:v>OK</x:v>
      </x:c>
    </x:row>
    <x:row r="40" ht="70" customHeight="1">
      <x:c r="A40" s="39" t="n">
        <x:v>35</x:v>
      </x:c>
      <x:c r="B40" s="40" t="str">
        <x:v>complete</x:v>
      </x:c>
      <x:c r="C40" s="40" t="str">
        <x:v>NEWS-guardian_api-9dea17fa1487</x:v>
      </x:c>
      <x:c r="D40" s="40" t="str">
        <x:v>SCC-2021-05</x:v>
      </x:c>
      <x:c r="E40" s="40" t="str">
        <x:v>local</x:v>
      </x:c>
      <x:c r="F40" s="40" t="str">
        <x:v>guardian_api</x:v>
      </x:c>
      <x:c r="G40" s="47" t="str">
        <x:v>England's new Covid rules: what is allowed in tiers 1, 2 and 3?</x:v>
      </x:c>
      <x:c r="H40" s="40"/>
      <x:c r="I40" s="40" t="str"/>
      <x:c r="J40" s="47" t="str">
        <x:v>Surrey AND (council OR election)</x:v>
      </x:c>
      <x:c r="K40" s="40" t="str">
        <x:v>no</x:v>
      </x:c>
      <x:c r="L40" s="40" t="str">
        <x:v>yes</x:v>
      </x:c>
      <x:c r="M40" s="40" t="str">
        <x:v>include</x:v>
      </x:c>
      <x:c r="N40" s="40" t="str">
        <x:v>E5-L3-COUNCIL-ISSUE</x:v>
      </x:c>
      <x:c r="O40" s="47" t="str">
        <x:v>Liverpool city region, York, North Yorkshire, Cambridgeshire, Norfolk, Essex, East Sussex, Surrey, Oxfordshire, Dorset and Devon are among other locations in tier 2.</x:v>
      </x:c>
      <x:c r="P40" s="47" t="str">
        <x:v>exclude</x:v>
      </x:c>
      <x:c r="Q40" s="47" t="str">
        <x:v>E5-NO-L-OR-N-RULE-MET</x:v>
      </x:c>
      <x:c r="R40" s="47" t="str"/>
      <x:c r="S40" s="40" t="str">
        <x:v>yes</x:v>
      </x:c>
      <x:c r="T40" s="40" t="str">
        <x:v>human_include__llm_exclude</x:v>
      </x:c>
      <x:c r="U40" s="40" t="str">
        <x:v>in_v1_excerpt</x:v>
      </x:c>
      <x:c r="V40" s="40" t="str">
        <x:v>True</x:v>
      </x:c>
      <x:c r="W40" s="41" t="str">
        <x:v>exclude</x:v>
      </x:c>
      <x:c r="X40" s="41" t="str">
        <x:v>L3</x:v>
      </x:c>
      <x:c r="Y40" s="41" t="str">
        <x:v>none</x:v>
      </x:c>
      <x:c r="Z40" s="41" t="str">
        <x:v>surrey_wide_rule_misapplied</x:v>
      </x:c>
      <x:c r="AA40" s="41" t="str">
        <x:v>yes</x:v>
      </x:c>
      <x:c r="AB40" s="41" t="str">
        <x:v>codebook_review</x:v>
      </x:c>
      <x:c r="AC40" s="41" t="str">
        <x:v>no</x:v>
      </x:c>
      <x:c r="AD40" s="49" t="str">
        <x:v>Liverpool city region, York, North Yorkshire, Cambridgeshire, Norfolk, Essex, East Sussex, Surrey, Oxfordshire, Dorset and Devon are among other locations in tier 2.</x:v>
      </x:c>
      <x:c r="AE40" s="49" t="str">
        <x:v>The article explains national Covid tier rules and lists Surrey among many tier-2 areas. It does not name a sampled division or town, concern a Surrey council decision, or provide Surrey-wide political coverage.</x:v>
      </x:c>
      <x:c r="AF40" s="41" t="str">
        <x:v>AI-assisted development draft (researcher verification required)</x:v>
      </x:c>
      <x:c r="AG40" s="41" t="str">
        <x:v>2026-07-24</x:v>
      </x:c>
      <x:c r="AH40" s="42" t="str">
        <x:f>IF(B40&lt;&gt;"complete","",IF(OR(W40="",X40="",Y40="",Z40="",AA40="",AB40="",AD40="",AF40="",AG40=""),"MISSING REQUIRED FIELD","OK"))</x:f>
        <x:v>OK</x:v>
      </x:c>
    </x:row>
    <x:row r="41" ht="70" customHeight="1">
      <x:c r="A41" s="39" t="n">
        <x:v>36</x:v>
      </x:c>
      <x:c r="B41" s="40" t="str">
        <x:v>complete</x:v>
      </x:c>
      <x:c r="C41" s="40" t="str">
        <x:v>NEWS-guardian_api-a3577fa415ba</x:v>
      </x:c>
      <x:c r="D41" s="40" t="str">
        <x:v>SCC-2021-05</x:v>
      </x:c>
      <x:c r="E41" s="40" t="str">
        <x:v>national</x:v>
      </x:c>
      <x:c r="F41" s="40" t="str">
        <x:v>guardian_api</x:v>
      </x:c>
      <x:c r="G41" s="47" t="str">
        <x:v>Israel to ban flights in and out of country</x:v>
      </x:c>
      <x:c r="H41" s="40" t="str">
        <x:v>2021-01-24</x:v>
      </x:c>
      <x:c r="I41" s="40" t="str"/>
      <x:c r="J41" s="47" t="str">
        <x:v>"local government" AND funding</x:v>
      </x:c>
      <x:c r="K41" s="40" t="str">
        <x:v>no</x:v>
      </x:c>
      <x:c r="L41" s="40" t="str">
        <x:v>no</x:v>
      </x:c>
      <x:c r="M41" s="40" t="str">
        <x:v>include</x:v>
      </x:c>
      <x:c r="N41" s="40" t="str">
        <x:v>E5-N2-POLICY-ISSUE</x:v>
      </x:c>
      <x:c r="O41" s="47" t="str">
        <x:v>We’ve launched a new blog at the link below – head there for the latest: Israel is set to ban passenger flights in attempt to prevent Covid variant imports, coming into effect from Monday 10pm for two weeks Greek health authorities have reported a jump in the number of cases of the coronavirus variant first spotted in the UK, with 32 infections detected.</x:v>
      </x:c>
      <x:c r="P41" s="47" t="str">
        <x:v>exclude</x:v>
      </x:c>
      <x:c r="Q41" s="47" t="str">
        <x:v>E5-NO-L-OR-N-RULE-MET</x:v>
      </x:c>
      <x:c r="R41" s="47" t="str">
        <x:v>Israel is set to ban passenger flights in attempt to prevent Covid variant imports</x:v>
      </x:c>
      <x:c r="S41" s="40" t="str">
        <x:v>no</x:v>
      </x:c>
      <x:c r="T41" s="40" t="str">
        <x:v>human_include__llm_exclude</x:v>
      </x:c>
      <x:c r="U41" s="40" t="str">
        <x:v>in_v1_excerpt</x:v>
      </x:c>
      <x:c r="V41" s="40" t="str">
        <x:v>True</x:v>
      </x:c>
      <x:c r="W41" s="41" t="str">
        <x:v>exclude</x:v>
      </x:c>
      <x:c r="X41" s="41" t="str">
        <x:v>N2</x:v>
      </x:c>
      <x:c r="Y41" s="41" t="str">
        <x:v>none</x:v>
      </x:c>
      <x:c r="Z41" s="41" t="str">
        <x:v>national_policy_scope_too_broad</x:v>
      </x:c>
      <x:c r="AA41" s="41" t="str">
        <x:v>yes</x:v>
      </x:c>
      <x:c r="AB41" s="41" t="str">
        <x:v>human_label_adjudication</x:v>
      </x:c>
      <x:c r="AC41" s="41" t="str">
        <x:v>no</x:v>
      </x:c>
      <x:c r="AD41" s="49" t="str">
        <x:v>We’ve launched a new blog at the link below – head there for the latest: Israel is set to ban passenger flights in attempt to prevent Covid variant imports, coming into effect from Monday 10pm for two weeks Greek health authorities have reported a jump in the number of cases of the coronavirus variant first spotted in the UK, with 32 infections detected.</x:v>
      </x:c>
      <x:c r="AE41" s="49" t="str">
        <x:v>The article is principally an international Covid live blog led by Israel and Greece. UK figures and comments appear among many updates, but the article is not substantively focused on a specified UK national policy issue.</x:v>
      </x:c>
      <x:c r="AF41" s="41" t="str">
        <x:v>AI-assisted development draft (researcher verification required)</x:v>
      </x:c>
      <x:c r="AG41" s="41" t="str">
        <x:v>2026-07-24</x:v>
      </x:c>
      <x:c r="AH41" s="42" t="str">
        <x:f>IF(B41&lt;&gt;"complete","",IF(OR(W41="",X41="",Y41="",Z41="",AA41="",AB41="",AD41="",AF41="",AG41=""),"MISSING REQUIRED FIELD","OK"))</x:f>
        <x:v>OK</x:v>
      </x:c>
    </x:row>
    <x:row r="42" ht="70" customHeight="1">
      <x:c r="A42" s="39" t="n">
        <x:v>37</x:v>
      </x:c>
      <x:c r="B42" s="40" t="str">
        <x:v>complete</x:v>
      </x:c>
      <x:c r="C42" s="40" t="str">
        <x:v>NEWS-guardian_api-ab4a777c619a</x:v>
      </x:c>
      <x:c r="D42" s="40" t="str">
        <x:v>SCC-2017-05</x:v>
      </x:c>
      <x:c r="E42" s="40" t="str">
        <x:v>local</x:v>
      </x:c>
      <x:c r="F42" s="40" t="str">
        <x:v>guardian_api</x:v>
      </x:c>
      <x:c r="G42" s="47" t="str">
        <x:v>ID cards and wider issues of voter engagement | Letters</x:v>
      </x:c>
      <x:c r="H42" s="40" t="str">
        <x:v>2016-12-29</x:v>
      </x:c>
      <x:c r="I42" s="40" t="str"/>
      <x:c r="J42" s="47" t="str">
        <x:v>Surrey AND (council OR election)</x:v>
      </x:c>
      <x:c r="K42" s="40" t="str">
        <x:v>no</x:v>
      </x:c>
      <x:c r="L42" s="40" t="str">
        <x:v>yes</x:v>
      </x:c>
      <x:c r="M42" s="40" t="str">
        <x:v>exclude</x:v>
      </x:c>
      <x:c r="N42" s="40" t="str">
        <x:v>E5-NO-L-OR-N-RULE-MET</x:v>
      </x:c>
      <x:c r="O42" s="47" t="str">
        <x:v>It is far too easy to impersonate someone at a polling station and claim their vote (Voters in local elections will be required to show ID in anti-fraud trials, 28 December).</x:v>
      </x:c>
      <x:c r="P42" s="47" t="str">
        <x:v>include</x:v>
      </x:c>
      <x:c r="Q42" s="47" t="str">
        <x:v>E5-N2-POLICY-ISSUE</x:v>
      </x:c>
      <x:c r="R42" s="47" t="str">
        <x:v>The government should therefore be taking steps to make sure that every person entitled to vote is actually included on the electoral registers.</x:v>
      </x:c>
      <x:c r="S42" s="40" t="str">
        <x:v>no</x:v>
      </x:c>
      <x:c r="T42" s="40" t="str">
        <x:v>human_exclude__llm_include</x:v>
      </x:c>
      <x:c r="U42" s="40" t="str">
        <x:v>in_v1_excerpt</x:v>
      </x:c>
      <x:c r="V42" s="40" t="str">
        <x:v>True</x:v>
      </x:c>
      <x:c r="W42" s="41" t="str">
        <x:v>exclude</x:v>
      </x:c>
      <x:c r="X42" s="41" t="str">
        <x:v>N1</x:v>
      </x:c>
      <x:c r="Y42" s="41" t="str">
        <x:v>none</x:v>
      </x:c>
      <x:c r="Z42" s="41" t="str">
        <x:v>wrong_arm_rule</x:v>
      </x:c>
      <x:c r="AA42" s="41" t="str">
        <x:v>no</x:v>
      </x:c>
      <x:c r="AB42" s="41" t="str">
        <x:v>decision_tree_change</x:v>
      </x:c>
      <x:c r="AC42" s="41" t="str">
        <x:v>no</x:v>
      </x:c>
      <x:c r="AD42" s="49" t="str">
        <x:v>It is far too easy to impersonate someone at a polling station and claim their vote (Voters in local elections will be required to show ID in anti-fraud trials, 28 December).</x:v>
      </x:c>
      <x:c r="AE42" s="49" t="str">
        <x:v>The letters concern national voter identification and electoral registration. They contain no sampled Surrey place or council issue for the local arm.</x:v>
      </x:c>
      <x:c r="AF42" s="41" t="str">
        <x:v>AI-assisted development draft (researcher verification required)</x:v>
      </x:c>
      <x:c r="AG42" s="41" t="str">
        <x:v>2026-07-24</x:v>
      </x:c>
      <x:c r="AH42" s="42" t="str">
        <x:f>IF(B42&lt;&gt;"complete","",IF(OR(W42="",X42="",Y42="",Z42="",AA42="",AB42="",AD42="",AF42="",AG42=""),"MISSING REQUIRED FIELD","OK"))</x:f>
        <x:v>OK</x:v>
      </x:c>
    </x:row>
    <x:row r="43" ht="70" customHeight="1">
      <x:c r="A43" s="39" t="n">
        <x:v>38</x:v>
      </x:c>
      <x:c r="B43" s="40" t="str">
        <x:v>complete</x:v>
      </x:c>
      <x:c r="C43" s="40" t="str">
        <x:v>NEWS-guardian_api-b48d01a86b76</x:v>
      </x:c>
      <x:c r="D43" s="40" t="str">
        <x:v>ESWS-2026-05</x:v>
      </x:c>
      <x:c r="E43" s="40" t="str">
        <x:v>local</x:v>
      </x:c>
      <x:c r="F43" s="40" t="str">
        <x:v>guardian_api</x:v>
      </x:c>
      <x:c r="G43" s="47" t="str">
        <x:v>Police to question Andrew’s former protection officers over his Epstein links</x:v>
      </x:c>
      <x:c r="H43" s="40" t="str">
        <x:v>2026-02-20</x:v>
      </x:c>
      <x:c r="I43" s="40" t="str"/>
      <x:c r="J43" s="47" t="str">
        <x:v>Surrey AND (council OR election)</x:v>
      </x:c>
      <x:c r="K43" s="40" t="str">
        <x:v>no</x:v>
      </x:c>
      <x:c r="L43" s="40" t="str">
        <x:v>yes</x:v>
      </x:c>
      <x:c r="M43" s="40" t="str">
        <x:v>include</x:v>
      </x:c>
      <x:c r="N43" s="40" t="str">
        <x:v>E5-L3-COUNCIL-ISSUE</x:v>
      </x:c>
      <x:c r="O43" s="47" t="str">
        <x:v>Surrey and Thames Valley police forces are considering claims of sexual wrongdoing by the former prince.</x:v>
      </x:c>
      <x:c r="P43" s="47" t="str">
        <x:v>exclude</x:v>
      </x:c>
      <x:c r="Q43" s="47" t="str">
        <x:v>E5-NO-L-OR-N-RULE-MET</x:v>
      </x:c>
      <x:c r="R43" s="47" t="str">
        <x:v>Scotland Yard has announced it is expanding its inquiry into Andrew Mountbatten-Windsor by approaching all his former protection officers and reviewing records of flights at London’s airports to see if they were used for human trafficking.</x:v>
      </x:c>
      <x:c r="S43" s="40" t="str">
        <x:v>no</x:v>
      </x:c>
      <x:c r="T43" s="40" t="str">
        <x:v>human_include__llm_exclude</x:v>
      </x:c>
      <x:c r="U43" s="40" t="str">
        <x:v>full_text_only</x:v>
      </x:c>
      <x:c r="V43" s="40" t="str">
        <x:v>True</x:v>
      </x:c>
      <x:c r="W43" s="41" t="str">
        <x:v>exclude</x:v>
      </x:c>
      <x:c r="X43" s="41" t="str">
        <x:v>L3</x:v>
      </x:c>
      <x:c r="Y43" s="41" t="str">
        <x:v>evidence_beyond_excerpt</x:v>
      </x:c>
      <x:c r="Z43" s="41" t="str">
        <x:v>local_effect_not_established</x:v>
      </x:c>
      <x:c r="AA43" s="41" t="str">
        <x:v>yes</x:v>
      </x:c>
      <x:c r="AB43" s="41" t="str">
        <x:v>human_label_adjudication</x:v>
      </x:c>
      <x:c r="AC43" s="41" t="str">
        <x:v>no</x:v>
      </x:c>
      <x:c r="AD43" s="49" t="str">
        <x:v>Surrey and Thames Valley police forces are considering claims of sexual wrongdoing by the former prince.</x:v>
      </x:c>
      <x:c r="AE43" s="49" t="str">
        <x:v>The article concerns police investigations into Andrew Mountbatten-Windsor. Mention of Surrey Police is not a Surrey council decision or service and no effect on a sampled division is established.</x:v>
      </x:c>
      <x:c r="AF43" s="41" t="str">
        <x:v>AI-assisted development draft (researcher verification required)</x:v>
      </x:c>
      <x:c r="AG43" s="41" t="str">
        <x:v>2026-07-24</x:v>
      </x:c>
      <x:c r="AH43" s="42" t="str">
        <x:f>IF(B43&lt;&gt;"complete","",IF(OR(W43="",X43="",Y43="",Z43="",AA43="",AB43="",AD43="",AF43="",AG43=""),"MISSING REQUIRED FIELD","OK"))</x:f>
        <x:v>OK</x:v>
      </x:c>
    </x:row>
    <x:row r="44" ht="70" customHeight="1">
      <x:c r="A44" s="39" t="n">
        <x:v>39</x:v>
      </x:c>
      <x:c r="B44" s="40" t="str">
        <x:v>needs_adjudication</x:v>
      </x:c>
      <x:c r="C44" s="40" t="str">
        <x:v>NEWS-guardian_api-b9d210492f43</x:v>
      </x:c>
      <x:c r="D44" s="40" t="str">
        <x:v>SCC-2021-05</x:v>
      </x:c>
      <x:c r="E44" s="40" t="str">
        <x:v>local</x:v>
      </x:c>
      <x:c r="F44" s="40" t="str">
        <x:v>guardian_api</x:v>
      </x:c>
      <x:c r="G44" s="47" t="str">
        <x:v>Explainer: what are the new Covid rules in the UK from Boxing Day?</x:v>
      </x:c>
      <x:c r="H44" s="40" t="str">
        <x:v>2020-12-26</x:v>
      </x:c>
      <x:c r="I44" s="40" t="str"/>
      <x:c r="J44" s="47" t="str">
        <x:v>Surrey AND (council OR election)</x:v>
      </x:c>
      <x:c r="K44" s="40" t="str">
        <x:v>no</x:v>
      </x:c>
      <x:c r="L44" s="40" t="str">
        <x:v>yes</x:v>
      </x:c>
      <x:c r="M44" s="40" t="str">
        <x:v>include</x:v>
      </x:c>
      <x:c r="N44" s="40" t="str">
        <x:v>E5-L3-COUNCIL-ISSUE</x:v>
      </x:c>
      <x:c r="O44" s="47" t="str">
        <x:v>Areas moving to tier 4 are Sussex, Oxfordshire, Suffolk, Norfolk and Cambridgeshire, parts of Essex not yet in the highest tier, Waverley in Surrey and Hampshire, with the exception of the New Forest.</x:v>
      </x:c>
      <x:c r="P44" s="47" t="str">
        <x:v>exclude</x:v>
      </x:c>
      <x:c r="Q44" s="47" t="str">
        <x:v>E5-NO-L-OR-N-RULE-MET</x:v>
      </x:c>
      <x:c r="R44" s="47" t="str"/>
      <x:c r="S44" s="40" t="str">
        <x:v>yes</x:v>
      </x:c>
      <x:c r="T44" s="40" t="str">
        <x:v>human_include__llm_exclude</x:v>
      </x:c>
      <x:c r="U44" s="40" t="str">
        <x:v>in_v1_excerpt</x:v>
      </x:c>
      <x:c r="V44" s="40" t="str">
        <x:v>True</x:v>
      </x:c>
      <x:c r="W44" s="41" t="str">
        <x:v>needs_second_review</x:v>
      </x:c>
      <x:c r="X44" s="41" t="str">
        <x:v>L3</x:v>
      </x:c>
      <x:c r="Y44" s="41" t="str">
        <x:v>missing_query_context</x:v>
      </x:c>
      <x:c r="Z44" s="41" t="str">
        <x:v>codebook_boundary_unclear</x:v>
      </x:c>
      <x:c r="AA44" s="41" t="str">
        <x:v>yes</x:v>
      </x:c>
      <x:c r="AB44" s="41" t="str">
        <x:v>codebook_review</x:v>
      </x:c>
      <x:c r="AC44" s="41" t="str">
        <x:v>yes</x:v>
      </x:c>
      <x:c r="AD44" s="49" t="str">
        <x:v>Areas moving to tier 4 are Sussex, Oxfordshire, Suffolk, Norfolk and Cambridgeshire, parts of Essex not yet in the highest tier, Waverley in Surrey and Hampshire, with the exception of the New Forest.</x:v>
      </x:c>
      <x:c r="AE44" s="49" t="str">
        <x:v>The article states that Waverley in Surrey moved to tier 4, which substantively affects areas containing sampled divisions. The current L3 wording, however, requires a Surrey council decision/service/issue; national Covid restrictions do not clearly satisfy that condition.</x:v>
      </x:c>
      <x:c r="AF44" s="41" t="str">
        <x:v>AI-assisted development draft (researcher verification required)</x:v>
      </x:c>
      <x:c r="AG44" s="41" t="str">
        <x:v>2026-07-24</x:v>
      </x:c>
      <x:c r="AH44" s="42" t="str">
        <x:f>IF(B44&lt;&gt;"complete","",IF(OR(W44="",X44="",Y44="",Z44="",AA44="",AB44="",AD44="",AF44="",AG44=""),"MISSING REQUIRED FIELD","OK"))</x:f>
      </x:c>
    </x:row>
    <x:row r="45" ht="70" customHeight="1">
      <x:c r="A45" s="39" t="n">
        <x:v>40</x:v>
      </x:c>
      <x:c r="B45" s="40" t="str">
        <x:v>complete</x:v>
      </x:c>
      <x:c r="C45" s="40" t="str">
        <x:v>NEWS-guardian_api-be5b11434a57</x:v>
      </x:c>
      <x:c r="D45" s="40" t="str">
        <x:v>SCC-2021-05</x:v>
      </x:c>
      <x:c r="E45" s="40" t="str">
        <x:v>national</x:v>
      </x:c>
      <x:c r="F45" s="40" t="str">
        <x:v>guardian_api</x:v>
      </x:c>
      <x:c r="G45" s="47" t="str">
        <x:v>Call to provide shelter for rough sleepers over UK winter lockdown</x:v>
      </x:c>
      <x:c r="H45" s="40" t="str">
        <x:v>2021-01-07</x:v>
      </x:c>
      <x:c r="I45" s="40" t="str"/>
      <x:c r="J45" s="47" t="str">
        <x:v>"local government" AND funding</x:v>
      </x:c>
      <x:c r="K45" s="40" t="str">
        <x:v>no</x:v>
      </x:c>
      <x:c r="L45" s="40" t="str">
        <x:v>no</x:v>
      </x:c>
      <x:c r="M45" s="40" t="str">
        <x:v>include</x:v>
      </x:c>
      <x:c r="N45" s="40" t="str">
        <x:v>E5-N2-POLICY-ISSUE</x:v>
      </x:c>
      <x:c r="O45" s="47" t="str">
        <x:v>Homelessness campaigners have demanded an urgent reboot of the government’s “Everybody In” scheme in England to provide safe shelter for thousands of rough sleepers as the UK enters another lockdown, with winter temperatures expected to plummet.</x:v>
      </x:c>
      <x:c r="P45" s="47" t="str">
        <x:v>exclude</x:v>
      </x:c>
      <x:c r="Q45" s="47" t="str">
        <x:v>E5-NO-L-OR-N-RULE-MET</x:v>
      </x:c>
      <x:c r="R45" s="47" t="str">
        <x:v>Homelessness campaigners have demanded an urgent reboot of the government's "Everybody In" scheme in England</x:v>
      </x:c>
      <x:c r="S45" s="40" t="str">
        <x:v>no</x:v>
      </x:c>
      <x:c r="T45" s="40" t="str">
        <x:v>human_include__llm_exclude</x:v>
      </x:c>
      <x:c r="U45" s="40" t="str">
        <x:v>in_v1_excerpt</x:v>
      </x:c>
      <x:c r="V45" s="40" t="str">
        <x:v>True</x:v>
      </x:c>
      <x:c r="W45" s="41" t="str">
        <x:v>include</x:v>
      </x:c>
      <x:c r="X45" s="41" t="str">
        <x:v>N2</x:v>
      </x:c>
      <x:c r="Y45" s="41" t="str">
        <x:v>none</x:v>
      </x:c>
      <x:c r="Z45" s="41" t="str">
        <x:v>missed_qualifying_evidence</x:v>
      </x:c>
      <x:c r="AA45" s="41" t="str">
        <x:v>no</x:v>
      </x:c>
      <x:c r="AB45" s="41" t="str">
        <x:v>prompt_clarification</x:v>
      </x:c>
      <x:c r="AC45" s="41" t="str">
        <x:v>no</x:v>
      </x:c>
      <x:c r="AD45" s="49" t="str">
        <x:v>Homelessness campaigners have demanded an urgent reboot of the government’s “Everybody In” scheme in England to provide safe shelter for thousands of rough sleepers as the UK enters another lockdown, with winter temperatures expected to plummet.</x:v>
      </x:c>
      <x:c r="AE45" s="49" t="str">
        <x:v>The article concerns national homelessness policy and the duties of English local authorities during lockdown. This is a substantive public-service and local-government issue under N2.</x:v>
      </x:c>
      <x:c r="AF45" s="41" t="str">
        <x:v>AI-assisted development draft (researcher verification required)</x:v>
      </x:c>
      <x:c r="AG45" s="41" t="str">
        <x:v>2026-07-24</x:v>
      </x:c>
      <x:c r="AH45" s="42" t="str">
        <x:f>IF(B45&lt;&gt;"complete","",IF(OR(W45="",X45="",Y45="",Z45="",AA45="",AB45="",AD45="",AF45="",AG45=""),"MISSING REQUIRED FIELD","OK"))</x:f>
        <x:v>OK</x:v>
      </x:c>
    </x:row>
    <x:row r="46" ht="70" customHeight="1">
      <x:c r="A46" s="39" t="n">
        <x:v>41</x:v>
      </x:c>
      <x:c r="B46" s="40" t="str">
        <x:v>complete</x:v>
      </x:c>
      <x:c r="C46" s="40" t="str">
        <x:v>NEWS-guardian_api-c726af230abd</x:v>
      </x:c>
      <x:c r="D46" s="40" t="str">
        <x:v>SCC-2017-05</x:v>
      </x:c>
      <x:c r="E46" s="40" t="str">
        <x:v>national</x:v>
      </x:c>
      <x:c r="F46" s="40" t="str">
        <x:v>guardian_api</x:v>
      </x:c>
      <x:c r="G46" s="47" t="str">
        <x:v>Revealed: dozens of children still treated on adult psychiatric wards</x:v>
      </x:c>
      <x:c r="H46" s="40" t="str">
        <x:v>2016-11-13</x:v>
      </x:c>
      <x:c r="I46" s="40" t="str"/>
      <x:c r="J46" s="47" t="str">
        <x:v>"the government" AND (performance OR record OR criticised)</x:v>
      </x:c>
      <x:c r="K46" s="40" t="str">
        <x:v>no</x:v>
      </x:c>
      <x:c r="L46" s="40" t="str">
        <x:v>no</x:v>
      </x:c>
      <x:c r="M46" s="40" t="str">
        <x:v>include</x:v>
      </x:c>
      <x:c r="N46" s="40" t="str">
        <x:v>E5-N2-POLICY-ISSUE</x:v>
      </x:c>
      <x:c r="O46" s="47" t="str">
        <x:v>Dozens of children and young people with mental health problems are still being treated on wards containing adults with sometimes severe psychiatric problems despite ministers having supposedly outlawed the practice in 2010, the Guardian can reveal.</x:v>
      </x:c>
      <x:c r="P46" s="47" t="str">
        <x:v>exclude</x:v>
      </x:c>
      <x:c r="Q46" s="47" t="str">
        <x:v>E5-NO-L-OR-N-RULE-MET</x:v>
      </x:c>
      <x:c r="R46" s="47" t="str">
        <x:v>Official figures from mental health hospitals collated by NHS Digital, the health service’s statistical arm, show that 47 children and young people aged 17 or under were treated on adult psychiatric wards in July.</x:v>
      </x:c>
      <x:c r="S46" s="40" t="str">
        <x:v>no</x:v>
      </x:c>
      <x:c r="T46" s="40" t="str">
        <x:v>human_include__llm_exclude</x:v>
      </x:c>
      <x:c r="U46" s="40" t="str">
        <x:v>in_v1_excerpt</x:v>
      </x:c>
      <x:c r="V46" s="40" t="str">
        <x:v>True</x:v>
      </x:c>
      <x:c r="W46" s="41" t="str">
        <x:v>include</x:v>
      </x:c>
      <x:c r="X46" s="41" t="str">
        <x:v>N2</x:v>
      </x:c>
      <x:c r="Y46" s="41" t="str">
        <x:v>none</x:v>
      </x:c>
      <x:c r="Z46" s="41" t="str">
        <x:v>missed_qualifying_evidence</x:v>
      </x:c>
      <x:c r="AA46" s="41" t="str">
        <x:v>no</x:v>
      </x:c>
      <x:c r="AB46" s="41" t="str">
        <x:v>prompt_clarification</x:v>
      </x:c>
      <x:c r="AC46" s="41" t="str">
        <x:v>no</x:v>
      </x:c>
      <x:c r="AD46" s="49" t="str">
        <x:v>Dozens of children and young people with mental health problems are still being treated on wards containing adults with sometimes severe psychiatric problems despite ministers having supposedly outlawed the practice in 2010, the Guardian can reveal.</x:v>
      </x:c>
      <x:c r="AE46" s="49" t="str">
        <x:v>The article concerns children being treated on adult NHS psychiatric wards and ministerial responsibility. It directly satisfies the NHS/public-services branch of N2.</x:v>
      </x:c>
      <x:c r="AF46" s="41" t="str">
        <x:v>AI-assisted development draft (researcher verification required)</x:v>
      </x:c>
      <x:c r="AG46" s="41" t="str">
        <x:v>2026-07-24</x:v>
      </x:c>
      <x:c r="AH46" s="42" t="str">
        <x:f>IF(B46&lt;&gt;"complete","",IF(OR(W46="",X46="",Y46="",Z46="",AA46="",AB46="",AD46="",AF46="",AG46=""),"MISSING REQUIRED FIELD","OK"))</x:f>
        <x:v>OK</x:v>
      </x:c>
    </x:row>
    <x:row r="47" ht="70" customHeight="1">
      <x:c r="A47" s="39" t="n">
        <x:v>42</x:v>
      </x:c>
      <x:c r="B47" s="40" t="str">
        <x:v>complete</x:v>
      </x:c>
      <x:c r="C47" s="40" t="str">
        <x:v>NEWS-guardian_api-cc8e272342e5</x:v>
      </x:c>
      <x:c r="D47" s="40" t="str">
        <x:v>ESWS-2026-05</x:v>
      </x:c>
      <x:c r="E47" s="40" t="str">
        <x:v>local</x:v>
      </x:c>
      <x:c r="F47" s="40" t="str">
        <x:v>guardian_api</x:v>
      </x:c>
      <x:c r="G47" s="47" t="str">
        <x:v>Enver Solomon restores our faith in Britain | Letters</x:v>
      </x:c>
      <x:c r="H47" s="40" t="str">
        <x:v>2025-12-01</x:v>
      </x:c>
      <x:c r="I47" s="40" t="str"/>
      <x:c r="J47" s="47" t="str">
        <x:v>Surrey AND (council OR election)</x:v>
      </x:c>
      <x:c r="K47" s="40" t="str">
        <x:v>no</x:v>
      </x:c>
      <x:c r="L47" s="40" t="str">
        <x:v>yes</x:v>
      </x:c>
      <x:c r="M47" s="40" t="str">
        <x:v>exclude</x:v>
      </x:c>
      <x:c r="N47" s="40" t="str">
        <x:v>E5-NO-L-OR-N-RULE-MET</x:v>
      </x:c>
      <x:c r="O47" s="47" t="str">
        <x:v>A brilliant interview as always from Zoe Williams (‘We thought the Rwanda scheme was the worst of it’: Enver Solomon on leading – and leaving – the Refugee Council, 24 November).</x:v>
      </x:c>
      <x:c r="P47" s="47" t="str">
        <x:v>include</x:v>
      </x:c>
      <x:c r="Q47" s="47" t="str">
        <x:v>E5-N1-PARTY-POLITICS</x:v>
      </x:c>
      <x:c r="R47" s="47" t="str">
        <x:v>I lost faith in and left the Labour party after decades as a believer that “things could only get better.”</x:v>
      </x:c>
      <x:c r="S47" s="40" t="str">
        <x:v>no</x:v>
      </x:c>
      <x:c r="T47" s="40" t="str">
        <x:v>human_exclude__llm_include</x:v>
      </x:c>
      <x:c r="U47" s="40" t="str">
        <x:v>in_v1_excerpt</x:v>
      </x:c>
      <x:c r="V47" s="40" t="str">
        <x:v>True</x:v>
      </x:c>
      <x:c r="W47" s="41" t="str">
        <x:v>exclude</x:v>
      </x:c>
      <x:c r="X47" s="41" t="str">
        <x:v>N1</x:v>
      </x:c>
      <x:c r="Y47" s="41" t="str">
        <x:v>none</x:v>
      </x:c>
      <x:c r="Z47" s="41" t="str">
        <x:v>wrong_arm_rule</x:v>
      </x:c>
      <x:c r="AA47" s="41" t="str">
        <x:v>no</x:v>
      </x:c>
      <x:c r="AB47" s="41" t="str">
        <x:v>decision_tree_change</x:v>
      </x:c>
      <x:c r="AC47" s="41" t="str">
        <x:v>no</x:v>
      </x:c>
      <x:c r="AD47" s="49" t="str">
        <x:v>A brilliant interview as always from Zoe Williams (‘We thought the Rwanda scheme was the worst of it’: Enver Solomon on leading – and leaving – the Refugee Council, 24 November).</x:v>
      </x:c>
      <x:c r="AE47" s="49" t="str">
        <x:v>The letter comments on national governments and the Labour party but contains no sampled Surrey place, candidate or council issue. National political content cannot satisfy a local L-rule.</x:v>
      </x:c>
      <x:c r="AF47" s="41" t="str">
        <x:v>AI-assisted development draft (researcher verification required)</x:v>
      </x:c>
      <x:c r="AG47" s="41" t="str">
        <x:v>2026-07-24</x:v>
      </x:c>
      <x:c r="AH47" s="42" t="str">
        <x:f>IF(B47&lt;&gt;"complete","",IF(OR(W47="",X47="",Y47="",Z47="",AA47="",AB47="",AD47="",AF47="",AG47=""),"MISSING REQUIRED FIELD","OK"))</x:f>
        <x:v>OK</x:v>
      </x:c>
    </x:row>
    <x:row r="48" ht="70" customHeight="1">
      <x:c r="A48" s="39" t="n">
        <x:v>43</x:v>
      </x:c>
      <x:c r="B48" s="40" t="str">
        <x:v>complete</x:v>
      </x:c>
      <x:c r="C48" s="40" t="str">
        <x:v>NEWS-guardian_api-d12e8db585f0</x:v>
      </x:c>
      <x:c r="D48" s="40" t="str">
        <x:v>ESWS-2026-05</x:v>
      </x:c>
      <x:c r="E48" s="40" t="str">
        <x:v>local</x:v>
      </x:c>
      <x:c r="F48" s="40" t="str">
        <x:v>guardian_api</x:v>
      </x:c>
      <x:c r="G48" s="47" t="str">
        <x:v>Flawed council shake-up plans will not deliver savings | Letters</x:v>
      </x:c>
      <x:c r="H48" s="40" t="str">
        <x:v>2026-02-24</x:v>
      </x:c>
      <x:c r="I48" s="40" t="str"/>
      <x:c r="J48" s="47" t="str">
        <x:v>Surrey AND (council OR election)</x:v>
      </x:c>
      <x:c r="K48" s="40" t="str">
        <x:v>no</x:v>
      </x:c>
      <x:c r="L48" s="40" t="str">
        <x:v>yes</x:v>
      </x:c>
      <x:c r="M48" s="40" t="str">
        <x:v>exclude</x:v>
      </x:c>
      <x:c r="N48" s="40" t="str">
        <x:v>E5-NO-L-OR-N-RULE-MET</x:v>
      </x:c>
      <x:c r="O48" s="47" t="str">
        <x:v>Polly Toynbee is correct to point out the foolishness of a massive local government reorganisation, given other priorities (Is No 10 seeking its own destruction?</x:v>
      </x:c>
      <x:c r="P48" s="47" t="str">
        <x:v>include</x:v>
      </x:c>
      <x:c r="Q48" s="47" t="str">
        <x:v>E5-L3-COUNCIL-ISSUE</x:v>
      </x:c>
      <x:c r="R48" s="47" t="str">
        <x:v>this reorganisation will lead to a large increase in inequality. The district councils that are being abolished are rising from the ashes as town and parish councils</x:v>
      </x:c>
      <x:c r="S48" s="40" t="str">
        <x:v>no</x:v>
      </x:c>
      <x:c r="T48" s="40" t="str">
        <x:v>human_exclude__llm_include</x:v>
      </x:c>
      <x:c r="U48" s="40" t="str">
        <x:v>in_v1_excerpt</x:v>
      </x:c>
      <x:c r="V48" s="40" t="str">
        <x:v>True</x:v>
      </x:c>
      <x:c r="W48" s="41" t="str">
        <x:v>exclude</x:v>
      </x:c>
      <x:c r="X48" s="41" t="str">
        <x:v>L3</x:v>
      </x:c>
      <x:c r="Y48" s="41" t="str">
        <x:v>none</x:v>
      </x:c>
      <x:c r="Z48" s="41" t="str">
        <x:v>incidental_place_overread</x:v>
      </x:c>
      <x:c r="AA48" s="41" t="str">
        <x:v>no</x:v>
      </x:c>
      <x:c r="AB48" s="41" t="str">
        <x:v>few_shot_example</x:v>
      </x:c>
      <x:c r="AC48" s="41" t="str">
        <x:v>yes</x:v>
      </x:c>
      <x:c r="AD48" s="49" t="str">
        <x:v>Polly Toynbee is correct to point out the foolishness of a massive local government reorganisation, given other priorities (Is No 10 seeking its own destruction?</x:v>
      </x:c>
      <x:c r="AE48" s="49" t="str">
        <x:v>The letter discusses local-government reorganisation nationally. Guildford appears only in the writer's address, which is not substantive evidence of an effect on a sampled division.</x:v>
      </x:c>
      <x:c r="AF48" s="41" t="str">
        <x:v>AI-assisted development draft (researcher verification required)</x:v>
      </x:c>
      <x:c r="AG48" s="41" t="str">
        <x:v>2026-07-24</x:v>
      </x:c>
      <x:c r="AH48" s="42" t="str">
        <x:f>IF(B48&lt;&gt;"complete","",IF(OR(W48="",X48="",Y48="",Z48="",AA48="",AB48="",AD48="",AF48="",AG48=""),"MISSING REQUIRED FIELD","OK"))</x:f>
        <x:v>OK</x:v>
      </x:c>
    </x:row>
    <x:row r="49" ht="70" customHeight="1">
      <x:c r="A49" s="39" t="n">
        <x:v>44</x:v>
      </x:c>
      <x:c r="B49" s="40" t="str">
        <x:v>complete</x:v>
      </x:c>
      <x:c r="C49" s="40" t="str">
        <x:v>NEWS-guardian_api-de14fda465d9</x:v>
      </x:c>
      <x:c r="D49" s="40" t="str">
        <x:v>SCC-2021-05</x:v>
      </x:c>
      <x:c r="E49" s="40" t="str">
        <x:v>local</x:v>
      </x:c>
      <x:c r="F49" s="40" t="str">
        <x:v>guardian_api</x:v>
      </x:c>
      <x:c r="G49" s="47" t="str">
        <x:v>I've been unfairly targeted, says academic at heart of National Trust 'woke' row</x:v>
      </x:c>
      <x:c r="H49" s="40" t="str">
        <x:v>2020-12-20</x:v>
      </x:c>
      <x:c r="I49" s="40" t="str"/>
      <x:c r="J49" s="47" t="str">
        <x:v>Surrey AND (council OR election)</x:v>
      </x:c>
      <x:c r="K49" s="40" t="str">
        <x:v>no</x:v>
      </x:c>
      <x:c r="L49" s="40" t="str">
        <x:v>yes</x:v>
      </x:c>
      <x:c r="M49" s="40" t="str">
        <x:v>include</x:v>
      </x:c>
      <x:c r="N49" s="40" t="str">
        <x:v>E5-L1-PLACE</x:v>
      </x:c>
      <x:c r="O49" s="47" t="str">
        <x:v>Co-edited by Fowler, it highlighted that 93 trust properties, including Clandon Park in Surrey and Hare Hill in Cheshire, were linked to wealth from plantations and the slave trade, while others, such as Bateman’s, Rudyard Kipling’s home in Sussex, were important to understanding Britain’s colonial history.</x:v>
      </x:c>
      <x:c r="P49" s="47" t="str">
        <x:v>exclude</x:v>
      </x:c>
      <x:c r="Q49" s="47" t="str">
        <x:v>E5-NO-L-OR-N-RULE-MET</x:v>
      </x:c>
      <x:c r="R49" s="47" t="str"/>
      <x:c r="S49" s="40" t="str">
        <x:v>yes</x:v>
      </x:c>
      <x:c r="T49" s="40" t="str">
        <x:v>human_include__llm_exclude</x:v>
      </x:c>
      <x:c r="U49" s="40" t="str">
        <x:v>in_v1_excerpt</x:v>
      </x:c>
      <x:c r="V49" s="40" t="str">
        <x:v>True</x:v>
      </x:c>
      <x:c r="W49" s="41" t="str">
        <x:v>exclude</x:v>
      </x:c>
      <x:c r="X49" s="41" t="str">
        <x:v>L1</x:v>
      </x:c>
      <x:c r="Y49" s="41" t="str">
        <x:v>none</x:v>
      </x:c>
      <x:c r="Z49" s="41" t="str">
        <x:v>incidental_place_overread</x:v>
      </x:c>
      <x:c r="AA49" s="41" t="str">
        <x:v>yes</x:v>
      </x:c>
      <x:c r="AB49" s="41" t="str">
        <x:v>human_label_adjudication</x:v>
      </x:c>
      <x:c r="AC49" s="41" t="str">
        <x:v>no</x:v>
      </x:c>
      <x:c r="AD49" s="49" t="str">
        <x:v>Co-edited by Fowler, it highlighted that 93 trust properties, including Clandon Park in Surrey and Hare Hill in Cheshire, were linked to wealth from plantations and the slave trade, while others, such as Bateman’s, Rudyard Kipling’s home in Sussex, were important to understanding Britain’s colonial history.</x:v>
      </x:c>
      <x:c r="AE49" s="49" t="str">
        <x:v>The article is about a national controversy over National Trust colonial-history research. Clandon Park is one item in a list of 93 properties and is not the substantive subject of the report.</x:v>
      </x:c>
      <x:c r="AF49" s="41" t="str">
        <x:v>AI-assisted development draft (researcher verification required)</x:v>
      </x:c>
      <x:c r="AG49" s="41" t="str">
        <x:v>2026-07-24</x:v>
      </x:c>
      <x:c r="AH49" s="42" t="str">
        <x:f>IF(B49&lt;&gt;"complete","",IF(OR(W49="",X49="",Y49="",Z49="",AA49="",AB49="",AD49="",AF49="",AG49=""),"MISSING REQUIRED FIELD","OK"))</x:f>
        <x:v>OK</x:v>
      </x:c>
    </x:row>
    <x:row r="50" ht="70" customHeight="1">
      <x:c r="A50" s="39" t="n">
        <x:v>45</x:v>
      </x:c>
      <x:c r="B50" s="40" t="str">
        <x:v>complete</x:v>
      </x:c>
      <x:c r="C50" s="40" t="str">
        <x:v>NEWS-guardian_api-e2001566d58a</x:v>
      </x:c>
      <x:c r="D50" s="40" t="str">
        <x:v>SCC-2013-05</x:v>
      </x:c>
      <x:c r="E50" s="40" t="str">
        <x:v>national</x:v>
      </x:c>
      <x:c r="F50" s="40" t="str">
        <x:v>guardian_api</x:v>
      </x:c>
      <x:c r="G50" s="47" t="str">
        <x:v>David Cameron arrives in Gulf on arms trade trip</x:v>
      </x:c>
      <x:c r="H50" s="40" t="str">
        <x:v>2012-11-05</x:v>
      </x:c>
      <x:c r="I50" s="40" t="str"/>
      <x:c r="J50" s="47" t="str">
        <x:v>UK "political scandal"</x:v>
      </x:c>
      <x:c r="K50" s="40" t="str">
        <x:v>no</x:v>
      </x:c>
      <x:c r="L50" s="40" t="str">
        <x:v>no</x:v>
      </x:c>
      <x:c r="M50" s="40" t="str">
        <x:v>include</x:v>
      </x:c>
      <x:c r="N50" s="40" t="str">
        <x:v>E5-N1-PARTY-POLITICS</x:v>
      </x:c>
      <x:c r="O50" s="47" t="str">
        <x:v>David Cameron has arrived in the Gulf at the beginning of a low-key arms trip aimed at persuading regional powers upset by Britain's response to the Arab spring to buy more than 100 Eurofighter Typhoon fighter jets.</x:v>
      </x:c>
      <x:c r="P50" s="47" t="str">
        <x:v>exclude</x:v>
      </x:c>
      <x:c r="Q50" s="47" t="str">
        <x:v>E5-NO-L-OR-N-RULE-MET</x:v>
      </x:c>
      <x:c r="R50" s="47" t="str">
        <x:v>David Cameron has arrived in the Gulf at the beginning of a low-key arms trip aimed at persuading regional powers upset by Britain's response to the Arab spring to buy more than 100 Eurofighter Typhoon fighter jets.</x:v>
      </x:c>
      <x:c r="S50" s="40" t="str">
        <x:v>no</x:v>
      </x:c>
      <x:c r="T50" s="40" t="str">
        <x:v>human_include__llm_exclude</x:v>
      </x:c>
      <x:c r="U50" s="40" t="str">
        <x:v>in_v1_excerpt</x:v>
      </x:c>
      <x:c r="V50" s="40" t="str">
        <x:v>True</x:v>
      </x:c>
      <x:c r="W50" s="41" t="str">
        <x:v>include</x:v>
      </x:c>
      <x:c r="X50" s="41" t="str">
        <x:v>N1</x:v>
      </x:c>
      <x:c r="Y50" s="41" t="str">
        <x:v>none</x:v>
      </x:c>
      <x:c r="Z50" s="41" t="str">
        <x:v>missed_qualifying_evidence</x:v>
      </x:c>
      <x:c r="AA50" s="41" t="str">
        <x:v>no</x:v>
      </x:c>
      <x:c r="AB50" s="41" t="str">
        <x:v>prompt_clarification</x:v>
      </x:c>
      <x:c r="AC50" s="41" t="str">
        <x:v>no</x:v>
      </x:c>
      <x:c r="AD50" s="49" t="str">
        <x:v>David Cameron has arrived in the Gulf at the beginning of a low-key arms trip aimed at persuading regional powers upset by Britain's response to the Arab spring to buy more than 100 Eurofighter Typhoon fighter jets.</x:v>
      </x:c>
      <x:c r="AE50" s="49" t="str">
        <x:v>The article reports the prime minister's arms-trade diplomacy, government policy and human-rights criticism. This is substantive UK government-performance coverage under N1.</x:v>
      </x:c>
      <x:c r="AF50" s="41" t="str">
        <x:v>AI-assisted development draft (researcher verification required)</x:v>
      </x:c>
      <x:c r="AG50" s="41" t="str">
        <x:v>2026-07-24</x:v>
      </x:c>
      <x:c r="AH50" s="42" t="str">
        <x:f>IF(B50&lt;&gt;"complete","",IF(OR(W50="",X50="",Y50="",Z50="",AA50="",AB50="",AD50="",AF50="",AG50=""),"MISSING REQUIRED FIELD","OK"))</x:f>
        <x:v>OK</x:v>
      </x:c>
    </x:row>
    <x:row r="51" ht="70" customHeight="1">
      <x:c r="A51" s="39" t="n">
        <x:v>46</x:v>
      </x:c>
      <x:c r="B51" s="40" t="str">
        <x:v>complete</x:v>
      </x:c>
      <x:c r="C51" s="40" t="str">
        <x:v>NEWS-guardian_api-e9ed22adbdb1</x:v>
      </x:c>
      <x:c r="D51" s="40" t="str">
        <x:v>ESWS-2026-05</x:v>
      </x:c>
      <x:c r="E51" s="40" t="str">
        <x:v>local</x:v>
      </x:c>
      <x:c r="F51" s="40" t="str">
        <x:v>guardian_api</x:v>
      </x:c>
      <x:c r="G51" s="47" t="str">
        <x:v>A new year brings new battles for democracy and for Labour | Letters </x:v>
      </x:c>
      <x:c r="H51" s="40" t="str">
        <x:v>2026-01-01</x:v>
      </x:c>
      <x:c r="I51" s="40" t="str"/>
      <x:c r="J51" s="47" t="str">
        <x:v>"Reform UK" AND Surrey</x:v>
      </x:c>
      <x:c r="K51" s="40" t="str">
        <x:v>no</x:v>
      </x:c>
      <x:c r="L51" s="40" t="str">
        <x:v>yes</x:v>
      </x:c>
      <x:c r="M51" s="40" t="str">
        <x:v>exclude</x:v>
      </x:c>
      <x:c r="N51" s="40" t="str">
        <x:v>E5-NO-L-OR-N-RULE-MET</x:v>
      </x:c>
      <x:c r="O51" s="47" t="str">
        <x:v>“Did 2025 mark the end of British parliamentary democracy as we know it?” asks the headline on Andy Beckett’s article (25 December).</x:v>
      </x:c>
      <x:c r="P51" s="47" t="str">
        <x:v>include</x:v>
      </x:c>
      <x:c r="Q51" s="47" t="str">
        <x:v>E5-N1-PARTY-POLITICS</x:v>
      </x:c>
      <x:c r="R51" s="47" t="str">
        <x:v>In Andy Beckett’s article, there is no mention of Your Party.</x:v>
      </x:c>
      <x:c r="S51" s="40" t="str">
        <x:v>no</x:v>
      </x:c>
      <x:c r="T51" s="40" t="str">
        <x:v>human_exclude__llm_include</x:v>
      </x:c>
      <x:c r="U51" s="40" t="str">
        <x:v>in_v1_excerpt</x:v>
      </x:c>
      <x:c r="V51" s="40" t="str">
        <x:v>True</x:v>
      </x:c>
      <x:c r="W51" s="41" t="str">
        <x:v>exclude</x:v>
      </x:c>
      <x:c r="X51" s="41" t="str">
        <x:v>L1</x:v>
      </x:c>
      <x:c r="Y51" s="41" t="str">
        <x:v>none</x:v>
      </x:c>
      <x:c r="Z51" s="41" t="str">
        <x:v>incidental_place_overread</x:v>
      </x:c>
      <x:c r="AA51" s="41" t="str">
        <x:v>no</x:v>
      </x:c>
      <x:c r="AB51" s="41" t="str">
        <x:v>few_shot_example</x:v>
      </x:c>
      <x:c r="AC51" s="41" t="str">
        <x:v>no</x:v>
      </x:c>
      <x:c r="AD51" s="49" t="str">
        <x:v>“Did 2025 mark the end of British parliamentary democracy as we know it?” asks the headline on Andy Beckett’s article (25 December).</x:v>
      </x:c>
      <x:c r="AE51" s="49" t="str">
        <x:v>The letters discuss national democracy, Labour and proportional representation. Farnham appears only in a writer's address and does not create substantive L1 relevance.</x:v>
      </x:c>
      <x:c r="AF51" s="41" t="str">
        <x:v>AI-assisted development draft (researcher verification required)</x:v>
      </x:c>
      <x:c r="AG51" s="41" t="str">
        <x:v>2026-07-24</x:v>
      </x:c>
      <x:c r="AH51" s="42" t="str">
        <x:f>IF(B51&lt;&gt;"complete","",IF(OR(W51="",X51="",Y51="",Z51="",AA51="",AB51="",AD51="",AF51="",AG51=""),"MISSING REQUIRED FIELD","OK"))</x:f>
        <x:v>OK</x:v>
      </x:c>
    </x:row>
    <x:row r="52" ht="70" customHeight="1">
      <x:c r="A52" s="39" t="n">
        <x:v>47</x:v>
      </x:c>
      <x:c r="B52" s="40" t="str">
        <x:v>complete</x:v>
      </x:c>
      <x:c r="C52" s="40" t="str">
        <x:v>NEWS-guardian_api-f0e1fbfa261a</x:v>
      </x:c>
      <x:c r="D52" s="40" t="str">
        <x:v>SCC-2013-05</x:v>
      </x:c>
      <x:c r="E52" s="40" t="str">
        <x:v>local</x:v>
      </x:c>
      <x:c r="F52" s="40" t="str">
        <x:v>guardian_api</x:v>
      </x:c>
      <x:c r="G52" s="47" t="str">
        <x:v>Today in healthcare: Tuesday 22 January</x:v>
      </x:c>
      <x:c r="H52" s="40" t="str">
        <x:v>2013-01-22</x:v>
      </x:c>
      <x:c r="I52" s="40" t="str"/>
      <x:c r="J52" s="47" t="str">
        <x:v>Surrey AND (council OR election)</x:v>
      </x:c>
      <x:c r="K52" s="40" t="str">
        <x:v>no</x:v>
      </x:c>
      <x:c r="L52" s="40" t="str">
        <x:v>yes</x:v>
      </x:c>
      <x:c r="M52" s="40" t="str">
        <x:v>include</x:v>
      </x:c>
      <x:c r="N52" s="40" t="str">
        <x:v>E5-L3-COUNCIL-ISSUE</x:v>
      </x:c>
      <x:c r="O52" s="47" t="str">
        <x:v>Jessica Fuhl writes Assurances have been given that Epsom Hospital will not close under an NHS review covering Surrey and south west London, Epsom council has said.</x:v>
      </x:c>
      <x:c r="P52" s="47" t="str">
        <x:v>exclude</x:v>
      </x:c>
      <x:c r="Q52" s="47" t="str">
        <x:v>E5-NO-L-OR-N-RULE-MET</x:v>
      </x:c>
      <x:c r="R52" s="47" t="str"/>
      <x:c r="S52" s="40" t="str">
        <x:v>yes</x:v>
      </x:c>
      <x:c r="T52" s="40" t="str">
        <x:v>human_include__llm_exclude</x:v>
      </x:c>
      <x:c r="U52" s="40" t="str">
        <x:v>full_text_only</x:v>
      </x:c>
      <x:c r="V52" s="40" t="str">
        <x:v>True</x:v>
      </x:c>
      <x:c r="W52" s="41" t="str">
        <x:v>include</x:v>
      </x:c>
      <x:c r="X52" s="41" t="str">
        <x:v>L1</x:v>
      </x:c>
      <x:c r="Y52" s="41" t="str">
        <x:v>evidence_beyond_excerpt</x:v>
      </x:c>
      <x:c r="Z52" s="41" t="str">
        <x:v>missed_qualifying_evidence</x:v>
      </x:c>
      <x:c r="AA52" s="41" t="str">
        <x:v>yes</x:v>
      </x:c>
      <x:c r="AB52" s="41" t="str">
        <x:v>input_fix</x:v>
      </x:c>
      <x:c r="AC52" s="41" t="str">
        <x:v>no</x:v>
      </x:c>
      <x:c r="AD52" s="49" t="str">
        <x:v>Jessica Fuhl writes Assurances have been given that Epsom Hospital will not close under an NHS review covering Surrey and south west London, Epsom council has said.</x:v>
      </x:c>
      <x:c r="AE52" s="49" t="str">
        <x:v>The healthcare live blog contains a substantive item about Epsom Hospital and an NHS review covering Surrey. The correct local basis is L1 place linkage; the NHS review is not itself a Surrey council decision under L3.</x:v>
      </x:c>
      <x:c r="AF52" s="41" t="str">
        <x:v>AI-assisted development draft (researcher verification required)</x:v>
      </x:c>
      <x:c r="AG52" s="41" t="str">
        <x:v>2026-07-24</x:v>
      </x:c>
      <x:c r="AH52" s="42" t="str">
        <x:f>IF(B52&lt;&gt;"complete","",IF(OR(W52="",X52="",Y52="",Z52="",AA52="",AB52="",AD52="",AF52="",AG52=""),"MISSING REQUIRED FIELD","OK"))</x:f>
        <x:v>OK</x:v>
      </x:c>
    </x:row>
    <x:row r="53" ht="70" customHeight="1">
      <x:c r="A53" s="43" t="n">
        <x:v>48</x:v>
      </x:c>
      <x:c r="B53" s="44" t="str">
        <x:v>complete</x:v>
      </x:c>
      <x:c r="C53" s="44" t="str">
        <x:v>NEWS-guardian_api-ffae95f17052</x:v>
      </x:c>
      <x:c r="D53" s="44" t="str">
        <x:v>ESWS-2026-05</x:v>
      </x:c>
      <x:c r="E53" s="44" t="str">
        <x:v>local</x:v>
      </x:c>
      <x:c r="F53" s="44" t="str">
        <x:v>guardian_api</x:v>
      </x:c>
      <x:c r="G53" s="48" t="str">
        <x:v>‘An abomination’: the Lancashire town kicking up a stink over reopened landfill</x:v>
      </x:c>
      <x:c r="H53" s="44" t="str">
        <x:v>2026-04-10</x:v>
      </x:c>
      <x:c r="I53" s="44" t="str"/>
      <x:c r="J53" s="48" t="str">
        <x:v>Surrey AND (council OR election)</x:v>
      </x:c>
      <x:c r="K53" s="44" t="str">
        <x:v>no</x:v>
      </x:c>
      <x:c r="L53" s="44" t="str">
        <x:v>yes</x:v>
      </x:c>
      <x:c r="M53" s="44" t="str">
        <x:v>exclude</x:v>
      </x:c>
      <x:c r="N53" s="44" t="str">
        <x:v>E5-NO-L-OR-N-RULE-MET</x:v>
      </x:c>
      <x:c r="O53" s="48" t="str">
        <x:v>In the week that many families went to the coast for the fresh sea air or the tang of fish and chips, visitors to one Lancashire resort inhaled a rather more unpleasant aroma.</x:v>
      </x:c>
      <x:c r="P53" s="48" t="str">
        <x:v>include</x:v>
      </x:c>
      <x:c r="Q53" s="48" t="str">
        <x:v>E5-L3-COUNCIL-ISSUE</x:v>
      </x:c>
      <x:c r="R53" s="48" t="str">
        <x:v>prompted more than 20,000 complaints to the Environment Agency</x:v>
      </x:c>
      <x:c r="S53" s="44" t="str">
        <x:v>no</x:v>
      </x:c>
      <x:c r="T53" s="44" t="str">
        <x:v>human_exclude__llm_include</x:v>
      </x:c>
      <x:c r="U53" s="44" t="str">
        <x:v>in_v1_excerpt</x:v>
      </x:c>
      <x:c r="V53" s="44" t="str">
        <x:v>True</x:v>
      </x:c>
      <x:c r="W53" s="45" t="str">
        <x:v>exclude</x:v>
      </x:c>
      <x:c r="X53" s="45" t="str">
        <x:v>L3</x:v>
      </x:c>
      <x:c r="Y53" s="45" t="str">
        <x:v>none</x:v>
      </x:c>
      <x:c r="Z53" s="45" t="str">
        <x:v>local_effect_not_established</x:v>
      </x:c>
      <x:c r="AA53" s="45" t="str">
        <x:v>no</x:v>
      </x:c>
      <x:c r="AB53" s="45" t="str">
        <x:v>prompt_clarification</x:v>
      </x:c>
      <x:c r="AC53" s="45" t="str">
        <x:v>no</x:v>
      </x:c>
      <x:c r="AD53" s="50" t="str">
        <x:v>In the week that many families went to the coast for the fresh sea air or the tang of fish and chips, visitors to one Lancashire resort inhaled a rather more unpleasant aroma.</x:v>
      </x:c>
      <x:c r="AE53" s="50" t="str">
        <x:v>The landfill story concerns Fleetwood in Lancashire and the Environment Agency. It has no Surrey council or sampled-area linkage.</x:v>
      </x:c>
      <x:c r="AF53" s="45" t="str">
        <x:v>AI-assisted development draft (researcher verification required)</x:v>
      </x:c>
      <x:c r="AG53" s="45" t="str">
        <x:v>2026-07-24</x:v>
      </x:c>
      <x:c r="AH53" s="46" t="str">
        <x:f>IF(B53&lt;&gt;"complete","",IF(OR(W53="",X53="",Y53="",Z53="",AA53="",AB53="",AD53="",AF53="",AG53=""),"MISSING REQUIRED FIELD","OK"))</x:f>
        <x:v>OK</x:v>
      </x:c>
    </x:row>
  </x:sheetData>
  <x:mergeCells>
    <x:mergeCell ref="A1:AH1"/>
    <x:mergeCell ref="A2:AH2"/>
  </x:mergeCells>
  <x:dataValidations count="8">
    <x:dataValidation type="list" sqref="B6:B53">
      <x:formula1>'Code Lists'!$A$2:$A$5</x:formula1>
    </x:dataValidation>
    <x:dataValidation type="list" sqref="W6:W53">
      <x:formula1>'Code Lists'!$B$2:$B$5</x:formula1>
    </x:dataValidation>
    <x:dataValidation type="list" sqref="X6:X53">
      <x:formula1>'Code Lists'!$C$2:$C$11</x:formula1>
    </x:dataValidation>
    <x:dataValidation type="list" sqref="Y6:Y53">
      <x:formula1>'Code Lists'!$D$2:$D$6</x:formula1>
    </x:dataValidation>
    <x:dataValidation type="list" sqref="Z6:Z53">
      <x:formula1>'Code Lists'!$E$2:$E$13</x:formula1>
    </x:dataValidation>
    <x:dataValidation type="list" sqref="AA6:AA53">
      <x:formula1>'Code Lists'!$F$2:$F$3</x:formula1>
    </x:dataValidation>
    <x:dataValidation type="list" sqref="AB6:AB53">
      <x:formula1>'Code Lists'!$G$2:$G$9</x:formula1>
    </x:dataValidation>
    <x:dataValidation type="list" sqref="AC6:AC53">
      <x:formula1>'Code Lists'!$H$2:$H$3</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31" hidden="0" customWidth="1"/>
    <x:col min="3" max="3" width="42" hidden="0" customWidth="1"/>
    <x:col min="4" max="4" width="36" hidden="0" customWidth="1"/>
    <x:col min="5" max="5" width="36" hidden="0" customWidth="1"/>
    <x:col min="6" max="6" width="36" hidden="0" customWidth="1"/>
    <x:col min="7" max="7" width="16" hidden="0" customWidth="1"/>
    <x:col min="8" max="8" width="70" hidden="0" customWidth="1"/>
    <x:col min="9" max="9" width="70" hidden="0" customWidth="1"/>
    <x:col min="10" max="10" width="70" hidden="0" customWidth="1"/>
  </x:cols>
  <x:sheetData>
    <x:row r="1">
      <x:c r="A1" s="51" t="str">
        <x:v>Article text used for E5 reassessment</x:v>
      </x:c>
      <x:c r="B1" s="51"/>
      <x:c r="C1" s="51"/>
      <x:c r="D1" s="51"/>
      <x:c r="E1" s="51"/>
      <x:c r="F1" s="51"/>
      <x:c r="G1" s="51"/>
      <x:c r="H1" s="51"/>
      <x:c r="I1" s="51"/>
      <x:c r="J1" s="51"/>
    </x:row>
    <x:row r="3">
      <x:c r="A3" s="23" t="str">
        <x:v>review_index</x:v>
      </x:c>
      <x:c r="B3" s="23" t="str">
        <x:v>article_id</x:v>
      </x:c>
      <x:c r="C3" s="23" t="str">
        <x:v>headline</x:v>
      </x:c>
      <x:c r="D3" s="23" t="str">
        <x:v>publisher_url</x:v>
      </x:c>
      <x:c r="E3" s="23" t="str">
        <x:v>review_text_source</x:v>
      </x:c>
      <x:c r="F3" s="23" t="str">
        <x:v>article_text_path</x:v>
      </x:c>
      <x:c r="G3" s="23" t="str">
        <x:v>article_text_chars</x:v>
      </x:c>
      <x:c r="H3" s="23" t="str">
        <x:v>article_text_1</x:v>
      </x:c>
      <x:c r="I3" s="23" t="str">
        <x:v>article_text_2</x:v>
      </x:c>
      <x:c r="J3" s="23" t="str">
        <x:v>article_text_3</x:v>
      </x:c>
    </x:row>
    <x:row r="4" ht="110" customHeight="1">
      <x:c r="A4" s="12" t="n">
        <x:v>1</x:v>
      </x:c>
      <x:c r="B4" s="12" t="str">
        <x:v>NEWS-bbc_surrey-26a6658188d3</x:v>
      </x:c>
      <x:c r="C4" s="12" t="str">
        <x:v>Meningitis kills Surrey University student</x:v>
      </x:c>
      <x:c r="D4" s="12" t="str">
        <x:v>http://www.bbc.co.uk/news/uk-england-surrey-39744547</x:v>
      </x:c>
      <x:c r="E4" s="12" t="str">
        <x:v>data/raw/news/text/NEWS-bbc_surrey-26a6658188d3.txt</x:v>
      </x:c>
      <x:c r="F4" s="12" t="str">
        <x:v>data/raw/news/text/NEWS-bbc_surrey-26a6658188d3.txt</x:v>
      </x:c>
      <x:c r="G4" s="12" t="n">
        <x:v>1676</x:v>
      </x:c>
      <x:c r="H4" s="12" t="str">
        <x:v>A student has died from meningitis and another two are recovering, prompting a university to offer undergraduates a vaccination.
The first year student at the University of Surrey died while returning from a sports trip to Italy.
The other two students have both been treated and are "recovering well", the university said.
The university is working with Public Health England (PHE) to inoculate students living in halls of residence.
All three students were diagnosed with meningitis, but two of them - including the one who died - had the meningitis B infection, prompting the "precautionary vaccinations".
A total of 4,200 full-time students - about one third of the student population - will be offered the jab.
Vice Chancellor Prof Max Lu said the university had been "reassured that the risk to staff, students and visitors is still very low".
Prof Kamila Hawthorne, associate dean for medicine at the university said evidence showed the infection was not "highly contagious, comparatively rare and the risk to the wider community remains very low".
"Only people who have prolonged, close contact with an ill person are at a slightly increased risk of becoming unwell."
An infection of the protective membranes that surround the brain and spinal cord
Most common in babies, children, teenagers and young adults
Symptoms develop suddenly and can include a high temperature over 37.5C, a dislike of bright lights and a stiff neck
Usually caused by a viral or bacterial infection
The viruses and bacteria that cause meningitis can be spread through sneezing, coughing, kissing, and sharing utensils and toothbrushes
Meningitis &amp; Septicaemia - Meningitis Research Foundation</x:v>
      </x:c>
      <x:c r="I4" s="12" t="str"/>
      <x:c r="J4" s="12" t="str"/>
    </x:row>
    <x:row r="5" ht="110" customHeight="1">
      <x:c r="A5" s="12" t="n">
        <x:v>2</x:v>
      </x:c>
      <x:c r="B5" s="12" t="str">
        <x:v>NEWS-guardian_api-07bc83a03221</x:v>
      </x:c>
      <x:c r="C5" s="12" t="str">
        <x:v>Starmer tells Labour MPs he is ‘not prepared to walk away’ after call for him to resign – as it happened </x:v>
      </x:c>
      <x:c r="D5" s="12" t="str">
        <x:v>https://www.theguardian.com/politics/live/2026/feb/09/starmer-mandelson-epstein-labour-mcsweeney-conservatives-latest-news-updates</x:v>
      </x:c>
      <x:c r="E5" s="12" t="str">
        <x:v>data/raw/news/text/NEWS-guardian_api-07bc83a03221.txt</x:v>
      </x:c>
      <x:c r="F5" s="12" t="str">
        <x:v>data/raw/news/text/NEWS-guardian_api-07bc83a03221.txt</x:v>
      </x:c>
      <x:c r="G5" s="12" t="n">
        <x:v>72962</x:v>
      </x:c>
      <x:c r="H5" s="12" t="str">
        <x:v>Keir Starmer has faced down immediate calls for his resignation after receiving the full backing of his cabinet and delivering an impassioned appeal to the PLP this evening that appears to have steadied the government’s ship, at least for now. With his position in peril over his appointment of Peter Mandelson as ambassador to the US, Starmer’s leadership was then plunged into further tumult with the resignation of his chief of staff Morgan McSweeney over the affair. But despite an intervention from Scottish Labour leader Anas Sarwar and calls from most opposition leaders for him to go, Starmer appears to have done just enough, as he told a crucial meeting of more than 400 Labour MPs and peers that he was “not prepared to walk away” from his mandate and plunge the country into further chaos. The PM pledged to change his Downing Street operation and to fight any challenge that came his way, warning his rivals: “I have won every fight I’ve ever been in.” Many at the meeting said the PM had succeeded in shifting the narrative after coming out fighting, taking accountability for mistakes that have been made, and pledging to mend relations with MPs. He also stressed that Labour needed to take the fight to Reform UK, which he described as “the fight of our times”. But others warned that Starmer has emerged damaged and was “not out of the woods yet”. After 24 hours of high drama, tonight Starmer did enough to bring himself back from the brink, but whether it’s enough to unify the party around his leadership – with rivals quietly jockeying for position – long term remains to be seen. For now, he’s surviving but most definitely not thriving. Angela Rayner threw her weight behind the prime minister, bringing a halt to a potential coup, minutes after the Guardian revealed an unfinished website claiming to launch her leadership campaign was temporarily published. Wes Streeting published private WhatsApp messages with Mandelson – including ones which questioned Starmer’s communications skills and the government’s growth plan – in an effort to draw a line under his relationship with the disgraced peer and protect future political ambitions. Tim Allan, Starmer’s director of communications, also quit after only five months in the job, to “allow a new No 10 team to be built”, leaving the prime minister looking for his fifth communications chief since he took office. Chris Wormald, the UK’s most senior civil servant, is negotiating his exit from the role as part of a broader shake-up of Downing Street, the Guardian learned, adding to the sense of turmoil at the top of government. Labour insiders fear that McSweeney’s departure leaves the prime minister dangerously exposed as he heads towards a series of policy and electoral challenges – including the Gorton and Denton byelection later this month – that could determine his political future. Lib Dem leader Ed Davey – who notably didn’t call for Keir Starmer’s resignation today like other opposition parties, though he did call for a no confidence vote in parliament last week – has said there must be a general election if Labour MPs do not “sort themselves out”. Davey told broadcasters earlier: Labour were elected to bring change to the country and to end the chaos we saw under the Conservatives. But Keir Starmer has failed to deliver, and we still have this daily soap opera. And it’s damaging the country. Labour MPs have either got to sort this out among themselves, or there is going to have to be a general election. And Tan Dhesi, the Labour MP for Slough, did not mince his words when giving his assessment of where the government is tonight. He told Sky News: This is an existential crisis for the prime minister, for our party, for our government. And yeah, I mean, this has been fraught. He said that upon returning to his constituency after Thursday, he had to address his local party members and take questions about the scandal. “I don’t want to be standing there, you know, when I’m visiting the dementia clinic or going to the local hospital … answering these sort of questions and apologising on behalf of us in Westminster,” he said. That’s not something that I came into politics [for] ... I don’t want to be associated with that. However, the BBC cites several sources inside the room where the meeting took place as saying Starmer was faced with a number of critical questions from MPs, including at least two that asked about the peerage for former Downing Street director of communications Matthew Doyle. “Several of my colleague were very forthright,” one Labour MP told the BBC. “The message got across that things need to change and change quickly.” Deputy Labour leader Lucy Powell has told Sky News that “dozens” of MPs turned up to support Keir Starmer this evening. I think what we saw tonight - very, very clearly and resoundingly - was how much support there is for Keir Starmer as our leader in the PLP [parliamentary Labour Party]. I’ve never known a meeting quite like that one this evening. I think there were maybe three or four or more standing ovations for Keir, including when he entered the room. Powell added, “we all recognise it’s been a difficult week” and “difficult few days”. But MPs from across the Labour Party, in their dozens and dozens, wanted to come along this evening to show that the prime minister has their full support. The most senior civil servant in Downing Street is negotiating his exit as part of a wider shake-up of Keir Starmer’s operation after one of the most dramatic 48 hours of the prime minister’s time in office, sources have told the Guardian. Chris Wormald, the cabinet secretary, is understood to be negotiating the terms of his departure from No 10. If he does step down, Wormald would be the third senior Downing Street staff member to leave after the departures of Morgan McSweeney, the prime minister’s chief of staff, and Tim Allan, his communications director. Wormald was appointed just over a year ago but has been under pressure for several months, with some of those close to Starmer having come to view him as a “disastrous” appointment. One government source said “the writing is on the wall” for Wormald, with Starmer keen to reassert his authority over both his parliamentary party and the wider government after a turbulent past few days. Another source said Wormald was in talks over taking a seat in the House of Lords as part of his exit deal. Environment secretary Emma Reynolds has said the “whole Cabinet supports the prime minister”. Speaking to GB News this evening, she added: We have a united front here, and the meeting of the parliamentary Labour party, which I have just come from, there was a real sense of unity in that room behind Keir Starmer because we need this Labour government to face outwards, not inwards, not having fights with ourselves, but actually focusing on delivering the change that we have a five-year mandate to do. Asked about Anas Sarwar’s calls for Starmer to step down, she said: “I think he is wrong, and I respectfully disagree with him.” She went on to say that the prime minister received “several standing ovations” during today’s PLP meeting “because he is somebody with great integrity who deeply cares about the future of this country”. Karl Turner, the Labour MP for Kingston upon Hull East, has said Keir Starmer shut down “any challenge against his leadership” during the parliamentary Labour party (PLP) meeting this evening. Posting on X, Turner wrote: “PM was at his best tonight. Reflective. Apologetic. But strong. “Came out fighting. Put to bed any idea of any challenge against his leadership.” Turner added that it was clear the PLP expects to “see some changes”, explaining that it “needs to feel included and we must use all of the talents our PLP has to offer”. Keir Starmer urged Labour MPs and peers to unite in the fight against Nigel Farage’s Reform UK during the PLP meeting. He described the battle with Reform as the “fight of our lives, the fight of our times”. Starmer added: It goes to the heart and soul of who we are as a party, as a government, and as a country, what it is to be British… And if they ever get in, they will divide, divide, divide. And it will tear this beautiful country apart. That is the fight of our times. Starmer told the packed committee room in the House of Commons that as long as he has “breath in my body, I’ll be in that fight, on behalf of the country that I love and I believe in, against those that want to tear it up”. “That is my fight, that is all of our fight, and we’re in this together,” he added. Speaking during a meeting of the parliamentary Labour party, Keir Starmer told MPs and peers he is “not prepared to walk away” from his mandate as prime minister. Starmer said: I have won every fight I’ve ever been in. I fought to change the Crown Prosecution Service so it better served victims of violence against women and girls. I fought to change the Labour Party to allow us to win an election again. People told me I couldn’t do it. And then they gradually said, you might just get over the line. We won with a landslide majority. Every fight I’ve been in, I have won. Starmer went on to say he has had “detractors every step along the way, and I’ve got them now. “Detractors that don’t want a Labour government at all, and certainly not one to succeed,” he added. “But I’ll tell you this, after having fought so hard for the chance to change our country, I’m not prepared to walk away from my mandate and my responsibility to my country, or to plunge us into chaos, as others have done.” Keir Starmer appeared “absolutely determined” during a meeting of the parliamentary Labour party (PLP), Downing Street sources said. Starmer apologised for appointing Lord Peter Mandelson as UK ambassador to the US and paid tribute to his former chief of staff, Morgan McSweeney, during the meeting, insiders told the Press Association. As a reminder, McSweeney stepped down yesterday after advising the prime minister to appoint Mandelson as US ambassador despite his known ties to Epstein. Starmer also reportedly told MPs he wanted to give more weight to the PLP’s views, acknowledging he had not been “open or inclusive enough”, but added he was not prepared to walk away from his mandate or the country. Chancellor Rachel Reeves has said Keir Starmer’s address to Labour MPs was “excellent” but admitted it had been a “very difficult” period after revelations about Peter Mandelson and Jeffrey Epstein’s ties emerged. She said: Everyone said, Keir is a man of great integrity and he is the person with a mandate to deliver the change that all of our constituents want to see. The last few days have been very, very difficult for the country, most importantly for the victims of Epstein, difficult for the party. Mistakes have been made but lessons will be learned. The prime minister has reportedly left now after spending over an hour addressing the PLP and it seems like it’s gone well. Sky News’s Beth Rigby posted on X: “One MP messages me to tell me PM ‘has gone for it and smashed it’ Says he ‘was honest and a bit raw’ but adds lots of MPs ‘desperately want him to succeed’. And BBC New’s Harry Farley reports that one Labour MP, who is often critical of the prime minister, texted him from inside: “If we could bottle this Keir and show it to the country we’ll walk [the next general election].” Culture secretary Lisa Nandy, who we hadn’t heard from when Andy rounded up cabinet members rallying around Keir Starmer earlier (see here and here), came out in support of the PM a few hours ago. She wrote on X: We were elected just eighteen months ago to fundamentally change this country and improve lives after more than a decade of decline. The Prime Minister is right to take that obligation seriously and he has my full support as he works in difficult circumstances to deliver. She’s also told the BBC that she “strongly disagrees” with Anas Sarwar after the Scottish Labour leader called for Starmer’s resignation earlier today. Nandy said Starmer had “made a mistake” in appointing Peter Mandelson as ambassador, which he is “right to have owned up to” and apologised for. She said the Epstein files have showed that the country is in desperate need of change, adding: We will go out and do the job that we were elected to do ... we are all fully behind the prime minister. Health secretary Wes Streeting has shared some of his private messages with Peter Mandelson with Sky News’s Beth Rigby in an effort to challenge allegations that he and the disgraced former US ambassador were close. In an interview on the Electoral Dysfunction podcast (here’s a clip), Streeting said of the exchanges, which date back to August 2024 and cover a mix of personal and political matters: Yeah, so this is the stuff that is going to be covered by the parliamentary inquiry. I’m happy for you to publish them. I’m happy for people to look at them and I’m happy to answer questions about them. I’ve got nothing to hide. Streeting denied that his relationship with Mandelson was “intimate” and asked if he was embarrassed by the messages, which show that the pair spoke every few weeks, he said: I’m embarrassed to have known Peter Mandelson. The messages show that in March last year Streeting told Mandelson that he feared being “toast at the next election” in his Ilford North seat. He also said that there was no “clear answer” as to why people should vote for Labour and after Mandelson complained about the government’s approach on the economy, Streeting said that the government had “no growth strategy at all”. Also, in July Streeting asked Mandelson’s views on the UK formally recognising a Palestinian state. He said the UK should back recognition “morally and politically” and accused Israel of “committing war crimes before our very eyes”. Mandelson also sent Streeting his statement after he was sacked by Keir Starmer, but Streeting didn’t reply. Anas Sarwar has shown he has a ruthless streak. Once one of Keir Starmer’s staunchest cheerleaders and allies, the Scottish Labour leader is now the most senior party figure to call for him to quit. Despite anger among his colleagues and criticism that his decision to demand Starmer stands down was “idiotic, immature and self-defeating”, Sarwar’s political calculation is blunt and uncompromising. Sarwar and his advisers, having watched Scottish Labour’s polling figures plummet as the disarray inside the UK government deepened into chaos and then crisis, believe the risk of calling on Starmer to quit is justified. Sarwar, by delivering a better result in Scotland at the 2024 general election – winning 35.3% of the vote compared with Labour’s 33.7% at UK level – managed to double his party’s support levels in a matter of months. That has now evaporated. Scottish Labour sits at 18% in the polls. Scottish Labour’s leadership have been in crisis talks since the issue of Peter Mandelson’s ties to Jeffrey Epstein grew into a fully fledged scandal last week. But Sarwar’s call for Starmer to quit is freighted with risks. If Starmer limps on in the lead-up to Scottish elections in May or Labour descends into civil war, Sarwar’s failure to deliver the coup de grace will be used by his opponents in a campaign to claim he is weak or, worse, ignored. A successful outcome for Sarwar, such as it is, relies on Starmer quitting now. He needs Starmer to resign gracefully and with humility. And it would matter too who stands to replace him. Sarwar’s allies may be gambling that a leadership contest will produce candidates that can rouse voters who have fled to Reform or the Greens to reconsider Labour, or at the very least, lance the boil they feel Starmer’s premiership has become. However, voters may see this ruthlessness as the kind of betrayal they dislike in politicians; if they already felt let down by Labour, they may be utterly indifferent. It may simply be too late and too self-destructive. Read Severin’s full analysis here: The former head of Homes England has announced he is joining Reform UK, as Nigel Farage said he was planning to bring more “experts” on board to advise the party. The move by Simon Dudley was also being framed as a blow for Kemi Badenoch after he had been brought into the Conservative party’s treasurers department as recently as October last year by party chairman Kevin Hollinrake. Dudley, who comes with experience in international banking and held roles at HSBC and other companies, was chair of the Ebsfleet Development Corporation until July last year, overseeing the creation of a new town the size of Chichester. “For too long, the two main parties have failed to deliver housing for Brits,” said Dudley. “They’ve pursued a disastrous combination of extreme levels of immigration with a severe lack of new good quality homes.” Keir Starmer has arrived for his meeting with the PLP. The BBC reports that he entered to cheers from the room, which is packed with Labour MPs and peers inside, and with journalists outside. It’s all taking place behind closed doors, but I’ll bring you all the latest once we get word of how it’s gone. The No 10 leadership crisis that has preoccupied Westminster today has distracted attention from an announcement about the government allocating an extra £440m for poor councils in England. As Max Kendix reports in the Times, the money has been released following complaints from Labour MPs representing deprived constituencies in the north of England that their constituencies were losing out under a new deprivation formula used to allocate local authority spending. Steve Reed, the housing, communities and local government secretary, said: We inherited a system where the communities that needed the most support were left behind. Today we’re turning the page. This £78bn settlement is about real change – potholes filled, streets kept clean, older people looked after, and young people having somewhere to go in their area. And with an extra £440m for areas hardest hit by historic cuts, we’re making sure every community gets its fair share. That is all from me for today. Lucy Campbell is taking over, and she will be bringing news from Keir Starmer’s address to the PLP. In the Commons Darren Jones, the chief secretary to the PM, told MPs that the legislation planned by the government to remove Peter Mandelson’s peerage (see 4.40pm) would probably be a general bill, not one specifically targeting Mandelson. Jones said: The government’s preference is to bring forward legislation that could be applied to any peer who is subject to breaching the rules and bringing the other place into disrepute. He also said he was told a “bill of that nature has not been brought before Parliament since 1425”. John Swinney, Scotland’s SNP first minister, has accused Anas Sarwar of being an “opportunist” after the Scottish Labour leader said Keir Starmer should stand down. Swinney told PA Media: For years, he has been a cheerleader for Keir Starmer and he’s described himself as an old friend of Peter Mandelson, without a moment’s thought for the victims of Jeffrey Epstein. And now he suddenly wants us to believe that Keir Starmer should move on, having defended all of the terrible decisions that Keir Starmer has made. What today tells us is that Anas Sarwar is an opportunist, and that he’s prepared to use every opportunity for his own self-preservation. Here is Severin Carrell’s analysis of Sarwar’s intervention. And here is an extract. Sarwar’s primary calculation is that Scotland’s electorate will hear and enjoy his comments about his loyalty being to Scotland. Insisting his “first priority and first loyalty” was to Scotland, he sought to justify his decision to call for Starmer to go as being one of service in the national interest … And yet it is another huge risk. Sarwar will have numerous opportunities to repeat this line in interviews, on leaflets and in televised election debates. However, voters may see this ruthlessness as the kind of betrayal they dislike in politicians; if they already felt let down by Labour, they may be utterly indifferent. It may simply be too late and too self-destructive. Ben Quinn is a Guardian political correspondent. Nigel Farage has doubled down on culture war rhetoric at a rally where he told thousands of Reform UK’s rank and file that he was opening up the party’s lists to candidates for a general election. The Reform leader drew cheers for a speech at the Birmingham NEC where said that a Reform UK government would get rid of all solar farms and take on “leftwing teaching unions.” He added that a Reform government would also ensure there was respect “Judeo-Christian principles underpin the entirety of our civilization”. Farage also ratcheted up the party’s claims that crime was out of control, claiming that there had been a “near total collapse of law and order” in cities such as London. However, there was a noticeable lack of new policy or other eye catching announcements at an event which has been weeks in the planning. This saw speculation that the party may have opted to hold off on announcing new defections on a day when Downing Street found itself under relentless pressure over Keir Starmer’s future. To cheers, Farage said he had asked for Reform’s lists of those seeking to be potential election candidates to be opened up from 3pm earlier in the day. Setting out a scenario which he believed had suddenly become more likely, he said: “This whole thing could just unravel ... Starmer goes ... the party moves to the hard left there is a further exodus of capital, The bond markets lose confidence.” Lucy Powell, the deputy Labour leader, has also issued a statement backing Keir Starmer. She suggests Starmer has agreed to be more “inclusive and collaborative”. I will be sitting alongside Keir Starmer at the PLP this evening as Deputy Leader with my full support. He and I have been discussing in recent days, and before, how we need to do better to take the fight to Reform (as we are doing in Gorton &amp;amp; Denton) and by showing we are on the side of ordinary people. That also means being more inclusive and collaborative in the way we work. Keir gets that. I very much look forward to continuing that work together as one Labour team, with Keir as our leader. I know most colleagues feel the same. Ben Quinn is a Guardian political correspondent. Does Reform UK’s leader know something that isn’t public yet? Nigel Farage took to the stage at Reform UK rally at the Birimgham NEC in front of thousands of members, where even some of the faithful looked a bit bemused when he referred to Rachel Reeves as “the most useless prime minister.” “She’s the chancellor!” a few of those sitting close to the stage shouted back at Farage, who had opened up his speech by eliciting laughs for claiming that the curtains were closed at Downing Street. On more solid ground, Farage triggered the usual jeers for mentions of net zero and had a go at those asserting that a Reform government would speed up the privatisation of the NHS. He said: I can say today for the first time that the two party system we have known for all our lives is gone. It’s over. Reform has broken the mould of British politics, something Roy Jenkins tried and failed. He said he approached the coming local elections on 7 May with “a growing sense of optimism”, and said that “growing numbers” of people in places where local elections had been cancelled were cancelling their direct debits for council tax in those areas. “They are doing so on the basis of no taxation without representation,” said Farage. “Of course I could not possibly ..” added Farage, trailing off to laughter. In an interview with Sky News, Liz Kendall, the technology secretary, said that she thought Keir Starmer could and should stay on as PM. She said: I believe he can, and he should [survive] because I think I remember only too well, one of the reasons why the country elected us was because they were sick of all the changes in leadership under the Conservatives. I think it would be wrong after barely 18 months after our election for people to think that they can just change the leader. I think that that is not the right approach, but I do believe that we need to steady the ship, but we also need to change course because the public wants to see change in the country. Jones told MPs that, with the Ethics and Integrity Commission, the government will review whether the rules on declarations of interests for ministers and senior officials. He said the rules on the use of “non-corporate communication channels” within government (ie WhatsApp) would be reviewed. And he said the government is determined to tighten the rules on MPs having second jobs. The government is committed to the principle that second jobs for members of parliament should be banned outside of very limited exceptions, such as maintaining professional qualification. The committee on standards is currently conducting an inquiry into second jobs, and we are working with the committee to deliver meaningful change as quickly as possible. As leader of the Commons, Lucy Powell floated action on this soon after the election. But, aftrer the rightwing papers made it clear that they would interprete this as an attack on Nigel Farage’s right to earn hundreds of thousands of pounds from his work as a GB News presenter, the government seemed to lose interest in pushing this reform through. Jones said that the governement is going to change vetting rules for ministerial appointments where the role requires access to highly classified material. In future, candidates will not be announced until all the national security vetting has been carried out. In the case of Peter Mandelson, it was announced that No 10 intended to make him ambassador to the US before all the vetting had been finished. Jones says the PM “has confirmed that the government will bring forward legislation to ensure peerages can be removed from disgraced peers”. That goes a bit further than what we were told last week. At that point, No 10 just said the PM had asked officials to draw up legislation on this. Jones says the government has already strengthened the role of the No 10 ethics adviser, and set up the ethics and integrity commission. He says ministers have to publish information about gifts and hospitality more often. The rules about severance payments have been changed, he goes on. And he says the Hillsborough bill has been introduced. In the Commons Darren Jones, the chief secretary to the PM, is making a statement about conduct in public life. He says the review of material relating to Peter Mandelson’s appointment as ambassador to the US that he announced in a statement last week ultimately led to a referral to the police. Jones says he is announcing further changes today. He says the Jeffrey Epstein scandal requires “wider changes in the culture and use of power”. Here is the clip of Anas Sarwar calling for Keir Starmer’s resignation. Wes Streeting, the health secretary, told Sky’s Beth Rigby on her Electoral Dysfuncation podcast that Keir Starmer’s “doesn’t need to resign. EXCLUSIVE: Spoken to Wes Streeting for Electoral Dysfunction podcast in past hour. Acknowledges atmosphere “febrile” but tells me “Keir Starmer doesn’t need to resign” “It has not been the best week for the government” “Give Keir a chance” That sounds like a relatively half-hearted endorsement – although maybe Streeting sounded a bit more supportive in the full interview (which I haven’t heard yet). Streeting, of course, is a leading candidate to replace the PM. Angela Rayner’s statement may also distract attention from this highly intriguing scoop by the Guardian’s political editor, Pippa Crerar. Pippa says: An unfinished website claiming to launch Angela Rayner’s Labour leadership campaign was published temporarily in January, prompting further speculation that the former deputy prime minister could be gearing up for a contest to replace Keir Starmer. The Guardian was alerted to the website, which appeared to be under construction, by a source in the IT industry – before the US Department of Justice’s latest release of documents on Jeffrey Epstein threw the UK government into disarray. It was published, seemingly by accident, on a “staging site”, before being removed from the internet. ‘If someone had pulled the trigger’: MPs rue lack of challenger to oust Starmer The domain name angelaforleader.co.uk was registered within minutes of the apparent publishing error, at 9.48am on 27 January, with the same company – Webfusion – as her official parliamentary site. Rayner has denied any links to the website, with her team dismissing it as a “fake” that had neither been commissioned by her, nor with her knowledge, while one ally described it as a “false flag” operation. Angela Rayner, the former deputy PM and a leading candidate to replace Keir Starmer, has also issued a statement of support for the PM. She says: The recent scandal around Peter Mandelson and Jeffrey Epstein was shocking - and demands that both this government and our party learn the lessons, and act on them. 1/3 But the worst possible response would be to play party politics or factional games. Labour is only getting started on changing things for the better - our Employment Rights Act, renters’ rights, leasehold reform, free school meals and lifting kids out of poverty. 2/3 I urge all my colleagues to come together, remember our values and put them into practice as a team. The Prime Minister has my full support in leading us to that end. 3/3 If we were at this stage in the afternoon, and key figures in the party were still refusing to give their backing, then it would be looking bleak for Keir Starmer. But Rayner’s statement, after the endorsements from all members of the cabinet (see 3.09pm) and 3.50pm), means that none of the figures in the party with the clout to trigger a significant wave of no confidence declarations is primed to act to</x:v>
      </x:c>
      <x:c r="I5" s="12" t="str">
        <x:v>day. Starmer is probably safe for the next few days. This also means Anas Sarwar gone over the top on his own. But that probably won’t worry him much. His focus is on Scottish politics, not Westminster politics, and he will judge that he is in a stronger position as the Holyrood elections approach not being aligned with Starmer. And here are more statements from cabinet ministers backing Keir Starmer. From Yvette Cooper, the foreign secretary Later this week, Keir Starmer will lead our delegation to the Munich Security Conference. At this crucial time for the world, we need his leadership not just at home but on the global stage, and we need to keep our focus where it matters, on keeping our country safe. From Pat McFadden, the work and pensions secretary As someone said to me in the constituency on Friday “tell your boss to keep going.” I did and I hope he does. From Darren Jones, the chief secretary to the PM The battle for Britain in the years ahead is between a modern, diverse Britain led by Labour or a dark, divisive Britain under Reform. All of us in the Labour Party must get behind the Prime Minister, rise to the challenge and deliver a richer, fairer and stronger future. From Bridget Phillipson, the education secrtary From Ed Miliband, the energy secretary Keir has earned the right to deliver the change he has promised and do what he cares about - which is to serve the country. This is not the time for the government to turn inwards on itself. We must focus on delivering the change we promised the country. From Peter Kyle, the business secretary From Jo Stevens, the Welsh secretary Keir Starmer is a good, decent man with public service running through his veins. He came into politics for all the right reasons. He’s defied the naysayers many time and he’ll do so again. He’s changing and renewing our country and has restored it’s reputation across the world. From Jonathan Reynolds, the chief whip The Prime Minister has my full support and is delivering the change the country voted for. He won a mandate to serve working people and the country and we must continue to deliver on the progress we’ve already made. Resorting to infighting now does not serve the country. And – within the last few minutes – from Shabana Mahmood, the home secretary The PM won a five year mandate from the British people just 18 months ago. Labour governments don’t come along often. It is a privilege to serve in one and we must not waste a second. The PM has my full support. Let’s get on with changing the country for the better. Liz Kendall, the work and pensions secretary, and Wes Streeting, the health secretary, have not put out supportive statements on X. But they have both given interviews backing Starmer. (I will post the details shortly.) And Angela Smith, the leader of the Lords, has not declared her loyalty to Starmer on X either. But she has had the good sense not to post on X since the summer of 2024. Her spokesperson has put out a statement saying “of course” she supports the PM. That means Starmer has now secured public expressions of support from every member of his cabinet. As Scottish secretary, Douglas Alexander is supposed to be masterminding Scottish Labour’s campaign for the Holyrood elections with Anas Sarwar. He is disagreeing with Sarwar, but respectfully. He says Keir Starmer accepts that Labour has to “change how we do government” and he says (because of that, he implies) he is supporting him. This is a slightly more qualified statement of support than those that other cabinet ministers have been issuing. (See 3.09pm.) Earlier journalists were starting to make a point about the fact that cabinet ministers were not rallying behind Keir Starmer in public. (See 12.18pm.) Now, someone has organised some online cheerleading. Here are some of the cabinet ministers who have posted on social media. From David Lammy, the deputy PM Keir Starmer won a massive mandate 18 months ago, for five years to deliver on Labour’s manifesto that we all stood on. We should let nothing distract us from our mission to change Britain and we support the Prime Minister in doing that. From Rachel Reeves, the chancellor Rebuilding Britain takes time. But thanks to the decisions we’ve made NHS waiting lists are falling. Inflation is falling. Interest rates are falling. The conditions for the economy to grow are there. With Keir as our Prime Minister we are turning the country around. From Steve Reed, the housing secretary Keir led our party to victory and won a mandate for change. Waiting lists are falling, wages are rising, new rights for renters and leaseholders. We need to stay the course and deliver the change this country voted for. From Hilary Benn, the Northern Ireland secretary Now is the time for calm heads and seriousness of purpose. That is why the Prime Minister has my full support. From John Healey, the defence secretary The British public gave Keir a huge mandate only 18 months ago. They wanted a Labour government. They want us to deliver the change we promised. They expect us to get on with the job. The PM has my fullest support in leading this government and this country. From Heidi Alexander, the transport secretary I respect @anassarwar but he is wrong. Keir led our party to a General Election victory 18 months ago and he is the right person for the job in difficult circumstances. The public want us to fix the country’s problems, not fixate on ourselves. From Nick Thomas-Symonds, the Cabinet Office minister Keir has taken us from our worst defeat since 1935 to changing lives in Government. He’s one of only four Labour Leaders to win a General Election. We can’t go back to the misery of decline of the Tory years - we need to keep our foot on the gas every day to deliver change. These all comments were all posted at roughly the time that Anas Sarwar started his press conference. These are just some of the cabinet ministers who have expressed their confidence in Keir Starmer. I will post more comments shortly. Asked to clarify his relationship with Mandelson, Sarwar said that he had known him from around 2021. And he met him when he was ambassador, and Sarwar was visiting Washington. But he now thinks Mandelson betrayed his country. He has betrayed this country. He has betrayed the party he was once a member of. And he has betrayed the public in terms of his actions and his relationship with Jeffrey Epstein. Sarwar said Mandelson was not someone he wanted to be associated with. And that was the end of the press conference. Q: How did Starmer react when you told him what you were doing? Sarwar says there is “probably no one in Scottish politics that has had a better relationship with Keir Starmer or a closer friendship with Keir Starmer than I have”. They have campaigned together, he says. So does this cause me personal hurt and pain? Of course it does. This man is someone that I regard as a friend and who I have a certain level of loyalty to. But my first priority and my first loyalty has to be to my country, Scotland. And that’s the decision I have made in terms of the election on the 7 May. Q: Are you comfortable being the person who pulled the trigger on Keir Starmer? Sarwar says he is doing what he thinks is right for Scotland. Q: How can we take you seriously when you described Peter Mandelson as a friend last year? Sarwar says Mandelson “is not someone or something I want to be associated with”. He says he met him in his capacity as ambassador to the US, because that was in the interests of Scotland. UPDATE: The question was referring to this tweet. Sarwar says he spoke to Starmer this morning to tell him what he would be saying. “It’s safe to say that he and I disagreed,” he says. Q: Last week you told me Starmer could still be PM at the next election? Sarwar says he said Starmer could stay on a PM. But he also said there had to be answers, and it is now clear there have been “too many incidences where the wrong judgment calls have been made”. There have been too many mistakes, he says. That is distracting from the work of the government. And it’s also distracting from the big choice that people in Scotland have to make in three months’ time. Sarwar is now taking questions. Q: Who do you want to replace Keir Starmer? Sarwar says he is not backing an alternative candidate for leader. UPDATE: Sarwar said: This is not about MPs versus MSPs, this is about what is right for Scotland and it is for the UK cabinet, it is for Downing Street, it is for the UK Labour party to decide any process, any timeline and what comes next. Sarwar says the SNP government in Scotland is failing. We have an NHS crisis where too many Scots cannot access the treatment they need and when they need it. We have a housing emergency with more than 10,000 Scottish children homeless right now, and we have too many young people not feeling safe at school or on our streets, or missing out on the opportunities they deserve. And we have an SNP government that is addicted to secrecy and cover ups with devastating consequences. That is why I have to be honest about failure wherever I see it. The situation in Downing Street is not good enough. There have been too many mistakes. Sarwar says of course good things have been achieved. But no one knows them and no one can hear them because they’re being drowned out. That’s why it cannot continue. Anas Sarwar says his first loyalty is to Scotland. This has not been easy, he says. But he says his first loyalty is to Scotland. And he is not willing to sacrifice Scotland’s schools and hospitals to a third decade of SNP rule. I am not willing to sacrifice Scotland’s NHS, our schools, our communities, our towns, cities, villages and islands to a third decade of an SNP government. That’s why the distraction needs to end. And the leadership in Downing Street has to change. It is so obvious that we desperately need change in Scotland and in three months’ time, the opportunity to get rid of a failing SNP government is one that is too important to be missed. We cannot allow the failures at the heart of Downing Street to mean the failures continue here in Scotland, because the election in May is not without consequence for the lives of Scots. Anas Sarwar, the Scottish Labour leader, is about to hold his press conference. Until recently, he has been relatively loyal to Keir Starmer. Eluned Morgan, the Labour Welsh first minister, will not be joining Anas Sarwar and calling for Keir Starmer’s resignation, Pippa Crerar reports. The Labour MP Jess Asato is urging her colleagues not to turn on Keir Starmer. In an interview with Times Radio, she said constituents had been urging her to back the PM. The public would not forgive Labour if it turned on Stamer, she said. And she said colleagues had “learned nothing” from the years of Tory chaos if they thought a “magic person” was available to solve the government’s problems. The Liberal Democrats have not been calling for Keir Starmer’s resignation today, unlike other opposition parties (see 1.57pm), but on Friday last week Ed Davey, the Lib Dem leader, did call for a no confidence vote in parliament. He said: Keir Starmer should say ‘put up or shut up’. Let’s have a confidence vote now to see whether Labour MPs have any confidence in the prime minister, so the government can get past this one way or the other and start focusing on the change our country needs. The SNP has joined other opposition parties, like the Conservatives (see 9.21am) and the Greens (see 12.45pm), in calling for Keir Starmer’s resignation. In a statement issued before it was revealed that Anas Sarwar, the Scottish Labour leader, is set to call for Starmer to quit, Stephen Flynn, the SNP leader at Westminster, said: The Labour government is in chaos and completely distracted from the issues that matter - like helping families with the cost of living, which has soared under Keir Starmer. On the prime minister’s watch, the Labour Party has lurched from one crisis to another and has failed to deliver the ‘change’ voters were promised. Instead, we’ve had more of the same … This never-ending chaos can’t go on. Keir Starmer should do the decent thing and resign. And this is what Flynn said after it emerged that Sarwar is about to speak out. Anas Sarwar has been the biggest cheerleader for Keir Starmer - what does that say about his judgment? Anas Sarwar bragged about being an old friend of Peter Mandelson - what does that say about his judgment? Anas Sarwar expressed confidence in Keir Starmer just last Thursday, and now he has acted in self-preservation to save his own skin. That fact won’t be lost on the Scottish public come May who will see right through Anas Sarwar and his appalling judgment which has been laid bare for all to see. Anas Sarwar promised us that Keir Starmer would be the change Scotland needed, why would anyone ever trust his judgment again? Pippa Crerar is the Guardian’s political editor. Some Labour figures are alarmed by the growing clamour for Keir Starmer’s resignation. One senior figure told the Guardian: Those calling on PM to step down need to take a breath and think about the consequences. The public will not forgive us for spending months infighting instead of delivering for them. Keir is being honest about what he’s got wrong, and making changes to show how this government and politics generally can be a force for good. Margaret Hodge, the Labour peer and former minister, told the World at One that she thought Keir Starmer was not minded to resign at this point. If he had been, Morgan McSweeney would not have resigned yesterday, she said. She said she did not want him to go because she wanted him to stay on to implement what was in the Labour manifesto, particularly with regard to cleaning up politics. The Labour MP Graham Stringer has told Radio 4’s the World at One that he does not think Keir Starmer can survive as prime minister. Interview just after the programme reported that Anas Sarwar is expected to call for Starmer’s resignation this afternoon, Stringer said: I think the prime minister cannot survive this amount of chaos. I don’t want him to go now. I think we have to wait and see what the results for local governments in England, are and the elections in Wales and Scotland and that will give Labour MPs and the Labour party nationally time sitting through what is the right process. Stringer said that he heard people on the media saying Starmer could survive. But, he went on: When I come into the House of Commons and talk to everybody, I don’t hear that opinion at all. So it is clearly a question of when, not if. Stringer admitted that he had not spoken to all 400-odd Labour MPs. But he said the ones he had spoken to, “from the top of the parliamentary Labour party to the newest members … are of one view”. Severin Carrell is the Guardian’s Scotland editor. Anas Sarwar, the Scottish Labour leader, is to call on Keir Starmer to stand down as prime minister and Labour leader at a hastily arranged press conference in Glasgow. Sarwar is furious that the prime minister’s repeated mistakes have heavily damaged support for Scottish Labour in the run-up to a crucial Scottish parliament election in May. The latest opinion polls show Labour trailing in third place behind the Scottish National party and Reform, despite triumphing in the 2024 general election. Anas Sarwar, the Scottish Labour leader, is expected to call for Keir Starmer’s resignation at his press conference at 2.30pm, Glenn Campbell, BBC Scotland’s political editor, is reporting. Campbell says: Sarwar has hastily arranged a news conference in Glasgow … where he will set out his position on Keir Starmer’s leadership of the country and then of the Labour party. Senior figures in the Scottish party have been saying in recent days that their chances in May’s elections would be improved if Starmer left office. Sarwar would be the most senior Labour figures to call for Starmer’s resignation. Anas Sarwar, the Scottish Labour leader, is holding a press conference in Glasgow at 2.30pm. There is speculation that he may use this to call for Keir Starmer’s resignation. Chris Mason, the BBC’s political editor, has just told the World at One that Sarwar’s office have been offered the chance to say he won’t be doing that, but that they’re not replying. Tim Allan does not seem to be working his notice. Here is the out of office on his WhatsApp. Darren Jones, the chief secretary to the PM, will make a statement in the Commons later being billed as an “update on standards in public life”. This is expected to include proposals that would beef up vetting procedures for people being appointed to the post that Peter Mandelson held, ambassador to the US. In an article for the Guardian at the weekend, Gordon Brown, the former prime minister, set out his own proposals on this topic. He said: This week’s events show why it is also imperative that the government bring in a fully accountable system for vetting major appointments such as those of Mandelson, and one that allows public scrutiny. Before the first world war, an incoming minister had to immediately put himself up for re-election as a constituency MP as a condition of taking up government office. A minister making executive decisions was seen as different from a legislator scrutinising them. It is because we have had since then no satisfactory means of vetting ministerial or other major appointments that mistakes are so easily made. The way forward is to hold parliamentary hearings, similar to those in the US Senate, for newly appointed ministers to ensure the right questions are asked and answered in public about present and past interests and conduct. We already have formal parliamentary hearings for new members of the Bank of England’s monetary policy committee. It is a system of formal vetting that should extend at a minimum to senior ambassadors. If it had been in place last year, it would have led to a very different ambassadorial appointment. The Jones statement will start at around 4.15pm, after an urgent question on the sentencing of Jimmy Lai. Zack Polanski, the Green party leader, has called for Keir Starmer’s resignation. In a statement, he said: [Morgan] McSweeney needed to go, but so too does Starmer. He knew about Mandelson’s ongoing relationship with a convicted child sex offender. This was a totally unacceptable failure of leadership. This whole saga also demonstrates how broken and compromised our politics is and that Labour can’t and won’t fix it. We need a different kind of politics – one where powerful, wealthy and corrupt men are shown the door, where exploitation is rooted out and inequality tackled. This is how we make hope normal again. The No 10 lobby briefing has just finished. Here are the main points. Keir Starmer is “positive, confident and determined”, the PM’s spokesperson told journalists. He said: The prime minister is getting on with the job of delivering change across the country. That was the tone and the content of his address to staff in No 10 this morning. Asked about the PM’s mood, the spokesperson said: He was upbeat, confident in his speech to staff this morning. He spoke about how he’s driven by the values of public service. He talked about how that was what brought him into politics later in life after a career, most recently as director of public prosecutions … [He was] positive, confident and determined. When it was put to the spokesperson there were reports saying Starmer was very depressed at the end of last week, and that he was even contemplating resigning, the spokesperson replied: That’s not the prime minister who appeared in front of staff this morning. The question was referring to stories like this one in the Times on Saturday, which said: One cabinet minister predicted that Starmer could quit on Monday after he had taken the opportunity to reflect on the events of recent days with his wife, Victoria. The spokesperson said that Starmer will not be resigning today. Asked explicitly if the PM would resign today, the spokesperson replied: “No.” The spokesperson said that the PM’s speech to No 10 staff earlier (see 11.54am) did not mention Tim Allan’s resignation because that was announced later. The spokesperson played down suggestions that Allan was sacked, pointing out that Allan said in his statement (see 11.15am) he had decided to stand down. The spokesperson would not comment on whether Allan would qualify for a severance payment. The spokesperson played down suggestions that Allan may have quit because he is worried about embarrassing messages between him and Peter Mandelson being released as a result of the humble address motion passed by MPs on Wednesday. It is understood that the process of finding information that will have to be disclosed has only just got underway. The spokesperson said that officials were still looking at what legislation might be needed to remove Peter Mandelson’s peerage. The Conservatives are urging Labour MPs to replace Keir Starmer. In a statement about the resignation of Tim Allan, Matt Vickers, the Tory deputy chair, said: The rats are abandoning the sinking ship that is Keir Starmer’s premiership. Labour MPs should stop moaning and put him out of his misery. The country deserves so much better than this weak, chaotic government. Jason Groves from the Daily Mail says he is surprised cabinet ministers have not been speaking in public today to defend Keir Starmer. Distinct lack of cabinet ministers taking to the airwaves this morning to defend the beleaguered PM in his hour of need. Happy to leave it to unelected junior minister Jacqui Smith to try and put a positive gloss on things… Where are the Cabinet? Not a peep out of any of them in public in the last 24 turbulent hours apart from Pat McFadden arguing there was ‘no point whatsoever’ in Morgan McSweeney resigning, shortly before he did You can read all the Guardian’s coverage of the crisis in No 10 here. And here are extracts from articles by other journalists and commentators published overnight or this morning. These are all articles filed before it was announced that Tim Allan had resigned. Tim Shipman at the Spectator says he thinks that Labour is in a weaker position without Morgan McSweeney in Downing Street. All that said, there are very few people near the top of this administration who respect the voters as McSweeney does and who dragged Starmer out of his soft-left, legalistic mindset to get tough on immigration or consider welfare reform, and what follows is much more likely to be a wishy-washy Old Labour tax-and-spend trend with Starmer, or whoever replaces him. There is a parallel here with Theresa May and her twin ‘chiefs’, Nick Timothy and Fiona Hill. After the 2017 general election, where May surrendered David Cameron’s hard-won majority, the cabinet demanded their heads. May was a creation of ‘Nick and Fi’ every bit as much as Starmer was a creature of McSweeney’s design. Removing the aides who gave her a vision and purpose did nothing for May, who stumbled on, disastrously for Britain, for two more years, shorn of purpose or political skills. Any Labour MP who thinks they are in a better place to win an election or win over the voters now than they were yesterday needs their head testing. One way of replacing McSweeney would be to bring in Jonathan Powell as chief of staff, the role he performed for Tony Blair, but my understanding is he’s happier running foreign affairs. Oliver Wright and Steven Swinford in the Times say that some ministers believe that Keir Starmer could resign soon. This is from their overnight story. Cabinet ministers believe the move will ultimately leave the prime minister “weaker” even if it buys him some time with furious Labour MPs. “It’s his last card,” one said. “He can only do this once. He is so much weaker because he doesn’t have Morgan to bail him out any more.” Another cabinet minister said: “We’re asking the question of whether he will be there at the end of the week. There’s a feeling he could stand down at any moment. The next 48 hours is going to be crucial.” George Eaton at the New Statesman says McSweeney never converted a campaigning coalition into a governing one. Confusion endures over what McSweeney, who joined Labour in 1998 after being inspired by the Good Friday agreement, truly represented. The man described to me by Blue Labour’s Maurice Glasman as “one of ours” is also cast as the protégée of Mandelson whose New Labour project was yesterday damned by Glasman as “an alien body that took over the party”. But this apparent paradox is easily resolved: the long war against Corbynism and the Conservatives had the effect of uniting Labour’s right in a tactical alliance. As a consequence, tensions and contradictions went unresolved. A campaigning project was never developed into a governing one. There is no better proof of this than the government’s tax lock, a New Labour-inspired device that left it struggling to raise scarce amounts from pensioners, farmers and pubs, undercutting McSweeney’s supposed communitarian impulses. The appointment of Mandelson similarly reflected an administration better at restaging the past than at inventing the future. Rachel Sylvester at the Observer says, although the resignation of McSweeney offers Starmer a chance for a reset, it is probably too late. This could be the chance for a “reset” if Starmer dares to take it, an opportunity for the prime minister to define his leadership on his own terms. He is also being urged by senior Labour figures to replace Chris Wormold, the cabinet secretary to improve the performance of the government. It is unlikely to be enough. The Labour leader may have bought a little time by sacrificing McSweeney but he has also highlighted his vulnerability. Last week one former Cabinet minister told me: “If Morgan is in trouble then Keir is in trouble. Morgan created Keir and Keir is totally dependent on him, if he gets rid of Morgan it’s game over.” Already MPs are asking why, if the chief of staff has resigned over his advice to appoint Mandelson, the prime minister is not quitting for actually taking the decision. “Morgan had to go,” one Labour peer said. “He’s been a disaster, everyone thinks he’s a genius but he’s been a third rate Mandelson, not nearly as clever as people think. He should have gone ages ago. But it’s not going to be enough to save Keir.” Alex Wickham from Bloomberg says there is no clear successor to Starmer. -The extraordinary thing is Labour has decided to bury Starmer without any plan for a replacement or any credible successor. Rayner is seen as the frontrunner but Labour figures predict a free-for-all, tipping at least six others to go for the job, from Miliband to Shabana Mahmood and Yvette Cooper. It says it all that Al Carns is on runners and riders lists. -An ally of Starmer warned that if Rayner or Miliband take over Britain would face a market and economic shock. They said if Starmer is ousted a new PM should call an election as they would have no legitimacy to lead the country. -The Labour right is flailing as it tries to stop Rayner. Once upon a time they’d have backed Wes Streeting, but they’ve all fallen out and Streeting is now tainted by his own close links to Mandelson. Several suggested John Healey should take over. One pitched him as the only sane person left in the Labour party and the only one with any international credibility. Keir Starmer has delivered a message to Downing Street staff telling them that he believes politics can be a “force for good” and that he wants the government to go forward “with confidence”. From the extracts released by Labour, Starmer gave no indication that he intends to resign. But he did not seem to have a striking new message either, and he did not mention the departure of Tim Allan. Here are the key quotes, from the briefing supplied to journalists. Starmer said that what he was “most angry” with Peter Mandelson about was the way the former ambassador undermined people’s faith in politics. Starmer said: The thing that makes me most angry is the undermining of the belief that politics can be a force for good and can change lives. I have been absolutely clear that I regret the decision that I made to appoint Peter Mandelson. And I’ve apologised to the victims which is the right thing to do. Starmer also told staff that they were united in having “public duty” as their “driving purpose”. Starmer paid tribute to Morgan McSweeney, saying he would not have been able to change Labour and win the election without his former chief of staff. He said: I’ve known Morgan for eight years as a colleague and as a friend. We have run up and down every political football pitch that is across the country. We’ve been in every battle that we needed to be in together. Fighting that battle. We changed the Labour party together. We won a general election together. And none of that would have been possible without Morgan McSweeney. His dedication, his commitment and his loyalty to our party and our country was second to none. And I want to thank him for his service. Starmer highlighted reducting child poverty, tackling the cost of living and cutting NHS waiting lists as government achievements of which he was particularly proud. He said: In just a few months, we start the work of lifting half a million children out of poverty. A massive thing to do in this country because that means that lives will be changed. For decades to come, children who otherwise wouldn’t have fair chance and fair opportunity. Poverty holds children back like nothing else on earth. And so getting rid of child poverty opens up opportunities for so many. He said the government would move ahead “with confidence”. We must prove that politics can be a force for good. I believe it can. I believe it is. We go forward from here. We go with confidence as we continue changing the country. Here is our story, by Peter Walker and </x:v>
      </x:c>
      <x:c r="J5" s="12" t="str">
        <x:v>Pippa Crerar, about Tim Allan’s resignation. Keir Starmer now has to find his fifth No 10 communications director since he became prime minister. Before Tim Allan, he also had: Matthew Doyle, who is now a peer, but embroiled in a controversy about his support for a Labour friend who had been charged with having indecent images of young girls; James Lyons, a former journalist who had worked in comms jobs for NHS England and for TikTok; and Stephanie Driver. The communications director job at No 10 is a political post, held by Labour figure. Starmer also has a civil service spokespeson who briefs the lobby every day. And last year Starmer appointed the former Sun editor David Dinsmore as head of government communications, another civil service post. Tim Allan said he was standing down to allow Keir Starmer the opportunity to build a new team. In a statement, he said: I have decided to stand down to allow a new No 10 team to be built. I wish the PM and his team every success. Tim Allan, who worked as Alastair Campbell’s deputy when Tony Blair was in opposition and after he first became PM, only joined Downing Street in September last year. It was a surprise appointment because Allan had been out of government for more than 25 years, mostly running his own PR and corporate affairs company. Here is a profile about him that Rowena Mason wrote in September. Clearly, in his five months in No 10, Allan was unable to achieve any decisive improvement in Keir Starmer’s ratings. Tim Allan has left his post as director of communications at No 10, Pippa Crerar reports. EXCL: Tim Allan, Keir Starmer’s director of communications, steps down from Downing Street role. “I have decided to stand down to allow a new No 10 team to be built. I wish the PM and his team every success,” he said. Tim Allan is Starmer’s fourth director of comms to go since taking office 19 months ago. Suggests the problem isn’t the communications team… Robert Jenrick, the former shadow justice secretary who recently defected to Reform UK, told Sky News this morning that he thought the Labour government under Keir Starmer was becoming as dysfunctional as the last Tory government was. He said: The government appears to be collapsing into chaos. Now the prime minister has no authority. There’s an outright revolt against him from his own members of parliament and the cabinet. Nothing is going to happen now. Government will be brought to a standstill. I’ve seen this up close in previous Conservative governments. There’ll be no agenda. The issues that people are facing in their daily lives - whether it’s wages, energy bills, crime, immigration, the NHS - are all just going to go into stasis now and the public are going to be let down very badly in the weeks and the months to come. Emily Thornberry, the Labour chair of the Commons foreign affairs committee, told the Today programme this morning that she was glad that Morgan McSweeney had resigned. She said: I’m glad to see that the person who was the architect of Peter Mandelson’s appointment has taken responsibility and has gone … Morgan had become quite a divisive figure. There were a couple of things that everyone agreed on, one was that he was brilliant, but I think the other one was that people felt he was in the wrong job, so I think it’s right that he’s gone, and I think it’s an opportunity. Thornberry said that Keir Starmer was a “decent man”, but that he needed to “step up a bit more than he has” and that he neeed a “reset” offering “clear leadership”. John Swinney, Scotland’s first minister, has said that he thinks Keir Starmer is in a position of “complete weakness” as PM. Speaking on BBC Radio Scotland, Swinney said: All that’s happened in recent days demonstrates an appalling judgment by the prime minister in appointing Peter Mandelson as the ambassador to the United States. Although Morgan McSweeney might have resigned, the person that took the decision to appoint Peter Mandelson was the prime minister and his position is a demonstration of his complete weakness as prime minister in the aftermath of this terrible decision. The Labour MP Andy McDonald told the Today programme this morning that it would be “the end” for Keir Starmer’s leadership if he failed to persuade backbenchers that he will change the way he operates for the better. McDonald said: If [Starmer] doesn’t own the error he’s made, and recognise the problem in front of it and articulate it and tell us how he’s going to deal with it, then I’m afraid it is coming to an end – if not today, but certainly in the weeks and months ahead. He’s got to convince the PLP tonight that he’s got it and a change is necessary. And the change that he promoted was no other than to purge the left, and it’s got us in this terrible mess that we’re in now. McDonald said he wanted to see a change to a “more pluralist, democratic socialist agenda”. McDonald, who served in shadow cabinet under Jeremy Corbyn, has been one of the MPs most critical in public of way Labour has been led by Starmer and Morgan McSweeney. In part he feels aggrieved because he was suspended from the party for five months for using words “the river and the sea” at a pro-Palestine rally, supposedly on the grounds that this was anti-Israel (it has echoes of a chant criticised as antisemitic), even though McDonald specifically said he wanted to see “Israelis and Palestinians, between the river and the sea … [living] in peaceful liberty”. Labour’s decision to suspend McDonald was criticised as excessive, and that is partly why he is so critical of the purges of the left overseen by McSweeney. Kemi Badenoch, the Conservative leader, has said that Keir Starmer should resign given his decision to appoint Peter Mandelson as ambassador to Washington. In an interview on the Today programme this morning, Badenoch said: [Claiming] ‘I was badly advised’ is not a good excuse for a leader. Advisers advise, leaders decide. He made a bad decision, he should take responsibility for that … this man said that he was the chief prosecutor for the country, when did he start believing everything that people told him? Peter Mandelson had been sacked twice for unethical behaviour. [Starmer] is allowing someone else to carry the can for a decision that he chose to make. But the real problem is that this country is not being governed. Keir Starmer promised a government that would be whiter than white. His position now is untenable, because if he thinks that bad advice is enough for Morgan McSweeney to go, then, yes, I think that makes his position untenable. In interviews this morning Jacqui Smith, the skills minister, insisted that Keir Starmer will carry on as PM. She told Times Radio: I think that the prime minister absolutely is determined to [carry on]. He’s determined and has taken responsibility for the mistakes made in appointing Peter Mandelson. On the Today programme Nick Robinson told Smith that Pat McFadden, the work and pensions secretary, gave an interview yesterday morning saying it would be pointless for Morgan McSweeeny to resign. Only a few hours later McSweeney did just that. He asked Smith if she could be sure that Starmer too wasn’t about to resign. Smith replied: “I am sure, yes.” But when Robinson asked her if Starmer had told her that personally, Smith said she had not spoken to him directly. “I don’t believe he will [resign], I don’t think he should,” she said. Good morning. One of the staples of political journalism these days (for better or for worse) is the “how damaging?” question. With Westminster preoccupied with the question of how long Keir Starmer can last as prime minister following the resignation of Morgan McSweeney, his chief of staff, yesterday in the light of the Peter Mandelson/Jeffrey Epstein scandal, here is a summary of how long other prime ministers were able to stay on after key advisers quit. Margaret Thatcher stayed in office, after the resignation of Alan Walters, for one year and one month. Tony Blair stayed in office, after the resignation of Alastair Campbell, for three years and 10 months. Gordon Brown stayed in office, after the resignation of Damian McBride, for one year and one month. Theresa May stayed in office, after the resignation of Nick Timothy and Fiona Hill, for two years and one and a half months. Boris Johnson stayed in office, after the resignation of Dominic Cummings, for one year and 10 months. Johnson stayed in office, after the resignation of Munira Mirza, for seven months. None of these are exact parallels. Most of these advisers were forced out because of pressure from MPs in the PM’s party, at least one (Mirza) was admired and her departure was a shock, but with McSweeney the picture is mixed. Many Labour MPs are glad to see him gone, but others credit him with winning them their seats and worry how the PM will manage without him. The Cummings precedent is similar in some ways, because Cummings was the mastermind behind Johnson’s 2019 general election victory. McSweeney also gets credit for the Labour’s 2024 landslide. But only last night Prof Jane Green, who runs the British Election Study project, said “the major factors that contributed to the unique seats-votes outcome were outside Labour’s direct control” and the claim that McSweeney’s decision to focus on appealing to former Tories was a crucial factor has been shown by election analysis to be wrong. Besides, unlike Cummings, McSweeney remains hinged. In some respects McSweeney is more similar to Nick Timothy and Fiona Hill. They were decisive in enabling Theresa May to become PM, just as McSweeney was instrumental in showing Starmer how he could win the Labour leadership. But Timothy and Hill were even more dominant in No 10 than McSweeney ever was. And they were forced out because they wrote a manifesto that lost an election, whereas McSweeney did the opposite. In short, there is no way of knowing how this will turn out. But previous experience suggests that even a damaging resignation like McSweeney’s doesn’t make the PM’s resignation imminent. But we have got an inkling of what might happen today. Starmer is due to address Labour MPs this evening and Jacqui Smith, the former Labour home secretary who is now a peer and skills minister, has been giving interviews this morning. Speaking on Times Radio this morning, she said Starmer deserved credit for “taking responsibility” for the Mandelson appointment. The prime minister is taking responsibility. He took responsibility for the decision that was made about Peter Mandelson, although to be clear here it was of course Peter Mandelson that, in consistent lying and engagement with Jeffrey Epstein, let down the party and the government and the country. And I think that will become clearer as the information around the appointment is put out into the public domain. According to Sam Blewett and Bethany Dawson in their London Playbook briefing for Politico, Labour First, the right-leaning Labour group that supports Starmer, has been urging its MPs allies to make this point at tonight’s PLP meeting. They say: One riled MP forwarded Playbook a message the right-leaning Labour First faction has sent to backbenchers it reckons are loyal to Starmer, urging them to speak up in support at the PLP meeting. Talking points include how the PM “accepts his mistakes and apologises,” compared to the carousel of Tory leaders forced from office … and how the government is delivering on “many areas of incremental change.” Here is our overnight story by Pippa Crerar summing up all yesterday’s developments. And here is an analysis by Kiran Stacey. Today we will be focusing mostly on this crisis. Here is the agenda. Morning: Kemi Badenoch is on a visit in Surrey. 11.30am: Downing Street holds a lobby briefing. 2.30pm: Shabana Mahmood, the home secretary, takes questions in the Commons. 3pm: Nigel Farage, the Reform UK leader, gives a speech in Birmingham. 6pm: Keir Starmer addresses Labour MPs at a private meeting of the PLP in Westminster. If you want to contact me, please post a message below the line when comments are open (between 10am and 3pm), or message me on social media. I can’t read all the messages BTL, but if you put “Andrew” in a message aimed at me, I am more likely to see it because I search for posts containing that word. If you want to flag something up urgently, it is best to use social media. You can reach me on Bluesky at @andrewsparrowgdn.bsky.social. The Guardian has given up posting from its official accounts on X, but individual Guardian journalists are there, I still have my account, and if you message me there at @AndrewSparrow, I will see it and respond if necessary. I find it very helpful when readers point out mistakes, even minor typos. No error is too small to correct. And I find your questions very interesting too. I can’t promise to reply to them all, but I will try to reply to as many as I can, either BTL or sometimes in the blog.</x:v>
      </x:c>
    </x:row>
    <x:row r="6" ht="110" customHeight="1">
      <x:c r="A6" s="12" t="n">
        <x:v>3</x:v>
      </x:c>
      <x:c r="B6" s="12" t="str">
        <x:v>NEWS-guardian_api-0a2b7642ed1f</x:v>
      </x:c>
      <x:c r="C6" s="12" t="str">
        <x:v>Could Lib Dems become the biggest party in English local government?</x:v>
      </x:c>
      <x:c r="D6" s="12" t="str">
        <x:v>https://www.theguardian.com/politics/2026/apr/30/could-lib-dems-become-the-biggest-party-in-english-local-government</x:v>
      </x:c>
      <x:c r="E6" s="12" t="str">
        <x:v>data/raw/news/text/NEWS-guardian_api-0a2b7642ed1f.txt</x:v>
      </x:c>
      <x:c r="F6" s="12" t="str">
        <x:v>data/raw/news/text/NEWS-guardian_api-0a2b7642ed1f.txt</x:v>
      </x:c>
      <x:c r="G6" s="12" t="n">
        <x:v>5537</x:v>
      </x:c>
      <x:c r="H6" s="12" t="str">
        <x:v>It has been an election buildup dominated by the rise of Reform UK and the Greens, and the contrasting woes of Labour and the Tories. But there is a chance that on 8 May the Liberal Democrats, largely ignored in recent weeks, could wake up as the biggest party in English local government. This is just one of several paradoxes for the party’s leader, Ed Davey, and his team. They are fifth in many national polls, with a rating barely changed from 2024. But Lib Dem bosses are sanguine, convinced that UK politics is now so different, so atomised, to make headline polling almost irrelevant. One senior Lib Dem said: “A lot of people seem to be misreading the way things are going. We think we have some of the answers.” In one sense, the ambitions are familiar. Barring an unexpected change of fortunes, the Lib Dems will increase their total number of councillors for an unprecedented eighth set of local elections in a row. A particularly good night for the party, plus heavy losses for the Conservatives, could result in the Lib Dems overtaking Kemi Badenoch’s party. If Labour fared very badly, there is an outside chance this second place could become first. One party strategist said: “It’s not something we’re necessarily expecting this time – it’s more likely in a year or two. But for all the fuss about Reform, year after year we are quietly making gains. It’s the tortoise and the hare.” Beyond the raw metrics there will be two main gauges of success for the Lib Dems. The first is consolidation or progress in “blue wall” areas where they took dozens of parliamentary seats from the Conservatives in 2024. “In places like Surrey we want to show we can finish the job on the Tories,” as one Lib Dem MP put it. “I call it electoral bamboo,” another MP said. “I’m still surrounded by Conservatives, but we are spreading out quickly.” The other gauge, which feels less certain, would be gains on councils which, in recent years, have been less promising ground for the Lib Dems, such as Birmingham and Preston. It is the latter category where Lib Dem strategists hope to test out a campaigning model based on a mixture of rigorous voter targeting and being able to, as one planner put it, “cut through the noise” of an increasingly fragmented political system. For the local elections, this is based around occasionally Reform-adjacent retail policies, such as a demand to cut fuel duty by 10p to help with costs from the Iran war, coupled with relentless attacks on Nigel Farage, particularly his closeness to Donald Trump. The party is now running its biggest-ever programme of digital adverts, most targeting Farage, contrasting his support for Trump with Davey’s repeated willingness to criticise the US president. “Iran has had real cut-through,” one Lib Dem MP said. “It’s not uncommon to have someone complain about potholes and then switch directly to the war and their worries about Trump. “It is also really notable the number of doors you knock on where people say they are desperate for anyone except Reform to win. Farage is really polarising.” This phenomenon is central to a strategy aimed mainly at the next general election but getting an initial try-out on 7 May. Based on huge amounts of internal polling, the Lib Dems are working on the basis that about half of voters will do whatever is necessary to block Reform in their local area. One senior Lib Dem said: “We are seeing huge, huge, levels of tactical voting, in a way we haven’t seen before.” It is this context that makes the party relaxed about polling about who will definitely vote for them, and to focus more on those who would consider it, perhaps tactically. With about a quarter of voters seen as strongly pro-Reform – the “burn everything down and start again” sector, as one Lib Dem official put it – another quarter are frustrated with the government and flatlining incomes, but uncertain where to go. This is where campaigning is aimed, based on a mixture of retail policies centred on the cost of living and presenting the Lib Dems, particularly Davey, as able to understand their worries but without the baggage or discord that comes with Reform. One senior Lib Dem said: “We don’t need to chase the 50% who are already anti-Reform. They will vote tactically regardless of almost anything else. In 2019 we tried to win just with these people and got hammered. It’s easy to boost polling numbers and lose seats.” This will, however, at most be a partial test. Local elections are not general elections: turnout is lower, and many voters are less worried about a Reform-run council collecting their bins than the idea of Farage in Downing Street. But there will be lessons to uncover, including whether the Lib Dems’ electoral ground game still works in a five-party battle, and if Davey, whose performance has prompted some grumblings among MPs, has the ambition and charisma to expand the party’s brand outside its strongholds. Thus far, the mood feels hopeful. “There is more work to do, but we are getting towards being on the right track,” one MP said. “Some of the movement on economy is positive.” But with the two-party system seemingly smashed and voter loyalty a memory, all predications come with caveats. This is new ground for everyone. “I knocked on a door and a man said he wanted to vote for Restore Britain,” one MP said, referring to the Rupert Lowe-led start-up party that sits even further to the right than Reform. “When I told him they aren’t standing here he said: ‘Well, it’s probably you then.’ That was a first.”</x:v>
      </x:c>
      <x:c r="I6" s="12" t="str"/>
      <x:c r="J6" s="12" t="str"/>
    </x:row>
    <x:row r="7" ht="110" customHeight="1">
      <x:c r="A7" s="12" t="n">
        <x:v>4</x:v>
      </x:c>
      <x:c r="B7" s="12" t="str">
        <x:v>NEWS-guardian_api-0a8a98eec2fa</x:v>
      </x:c>
      <x:c r="C7" s="12" t="str">
        <x:v>Funding gap of £643m puts  special needs teaching at risk</x:v>
      </x:c>
      <x:c r="D7" s="12" t="str">
        <x:v>https://www.theguardian.com/society/2020/dec/05/funding-gap-of-643m-puts-special-needs-teaching-at-risk</x:v>
      </x:c>
      <x:c r="E7" s="12" t="str">
        <x:v>data/raw/news/text/NEWS-guardian_api-0a8a98eec2fa.txt</x:v>
      </x:c>
      <x:c r="F7" s="12" t="str">
        <x:v>data/raw/news/text/NEWS-guardian_api-0a8a98eec2fa.txt</x:v>
      </x:c>
      <x:c r="G7" s="12" t="n">
        <x:v>3934</x:v>
      </x:c>
      <x:c r="H7" s="12" t="str">
        <x:v>Almost 90% of English councils overspent on their budgets for teaching children with special needs last year, and the underfunding is set to continue into 2021, according to figures seen by the Observer. Campaigners say the special education needs and disabilities (Send) system is in turmoil owing to chronic underfunding from central government, with many children left without adequate support. Of England’s 151 upper-tier councils (which excludes district councils) 132 overspent their high needs block (HNB) – the grant that funds Send education – in 2019/20. Only nine councils did not record an overspend, and no data was available for the other 10. The total HNB shortfall in England was £643m, which councils partly mitigated by raiding £112m from other funding pots, including other parts of their education budgets. The 2014 Children and Families Act increased the range of ages of children and young people with Send that councils had to support – but didn’t provide the necessary money. As a result, councils have been spending money they don’t have, with at least 91 of them exhausting their dedicated schools grant – the core funding for all schools and nurseries. The figures were collated from published council documents for the website Special Needs Jungle, and have been shared with the Observer. Gillian Doherty of campaign group Send Action told the Observer: “It’s really concerning that the majority of local authorities are still in deficit. The ‘additional funding’ for Send has not been sufficient to address existing deficits and funding shortfalls and has therefore made little impact on frontline services for disabled children and young people. “We are still seeing cuts to specialist teaching services and top-up funding for mainstream schools in some areas, and many schools are seeing real-terms cuts in per pupil funding.” Judith Blake, chair of the Local Government Association’s children and young people board, said: “Funding hasn’t kept pace with the increase in demand, resulting in many councils running significant deficits on their high needs blocks. We are concerned councils will not be able to meet their statutory duties to support children with Send unless additional money is made available.” A department for education spokesperson said: “We’ve announced the biggest increase in school funding in a decade and are increasing high needs funding for local authorities by £780m this year and £730m next year, boosting the total budget by nearly a quarter in 2021-22.” But this new money could be insufficient after years of funding squeezes, with just 17 councils breaking even or underspending. Among all councils, there is a net forecast overspend of £362m. Some councils face seemingly insurmountable deficits: Kent’s is £30m in Kent and Surrey’s £24m. Critically, new rules mean that from this year, councils will no longer be able to clear education overspends from other parts of their budget without special permission, from the government, so councils will have to find savings from their already-overstretched education budgets. Last month Surrey started consulting on plans to stop giving additional Send funding to mainstream schools. Critics fear this would discourage schools from taking Send pupils – driving them into more expensive specialist independent schools. Surrey council cabinet member Julie Iles said: “We are proposing changes that provide the right level of support, and help young people to gain independence where possible and transition to adulthood successfully. And to do so in a way that is sustainable, giving schools the ability to use funding and resources collectively and more flexibly.” Matt Dunkley, Kent council’s corporate director for education, said: “Our view remains that either funding must be increased dramatically, or the reforms need to be reviewed and updated to produce a sustainable budget for Send provision locally and nationally.”</x:v>
      </x:c>
      <x:c r="I7" s="12" t="str"/>
      <x:c r="J7" s="12" t="str"/>
    </x:row>
    <x:row r="8" ht="110" customHeight="1">
      <x:c r="A8" s="12" t="n">
        <x:v>5</x:v>
      </x:c>
      <x:c r="B8" s="12" t="str">
        <x:v>NEWS-guardian_api-0e7b3e16141a</x:v>
      </x:c>
      <x:c r="C8" s="12" t="str">
        <x:v>UK politics: Government abandons plans to delay 30 local council elections in May – as it happened</x:v>
      </x:c>
      <x:c r="D8" s="12" t="str">
        <x:v>https://www.theguardian.com/politics/live/2026/feb/16/social-media-online-safety-act-keir-starmer-uk-politics-live-news-updates</x:v>
      </x:c>
      <x:c r="E8" s="12" t="str">
        <x:v>data/raw/news/text/NEWS-guardian_api-0e7b3e16141a.txt</x:v>
      </x:c>
      <x:c r="F8" s="12" t="str">
        <x:v>data/raw/news/text/NEWS-guardian_api-0e7b3e16141a.txt</x:v>
      </x:c>
      <x:c r="G8" s="12" t="n">
        <x:v>44946</x:v>
      </x:c>
      <x:c r="H8" s="12" t="str">
        <x:v>Ministers have dropped plans to delay 30 local elections this May after receiving legal advice that doing so might be unlawful. The news was announced about two hours after Keir Starmer gave an interview to Radio 2’s Jeremy Vine in which he seemed to rule out further U-turns. James Cleverly, the shadow housing secretary, has sent an open letter to Steve Reed, the housing secretary who ordered the U-turn, saying that he needs to justify the decisions he took in this case – or resign. Cleverly said: The reality is that Labour are scared of voters. I believe that you have manipulated the democratic process to serve Labour’s political interests. Rather than postponing the elections, Labour should have postponed Angela Rayner’s botched, top-down and rushed unitary restructuring. There are now serious questions about your personal propriety as a minister. The sunlight of transparency is the only way forward to address the way in which our democracy has been tarnished. If you are unable or unwilling to answer these questions, you must resign. Here is an extract from Cleverly’s letter. “Wednesbury unreasonableness” is a test of unreasonableness that applies in judicial review cases. Keir Starmer has pledged action on young people’s access to social media in “months, not years”, while saying this did not necessarily mean a complete ban on access for under-16s. Keir Starmer has said Britain “needs to go faster” on defence spending, though any increase to military budgets in this parliament would probably not be as high as the £15bn suggested in an overnight report. The Cabinet Office is examining the commissioning of a report that made false claims about journalists who were investigating Labour Together, the thinktank closely linked to Keir Starmer, a cabinet minister has said. For a full list of all the stories covered on the blog today, do scroll through the list of key event headlines near the top of the blog. Ben Quinn is a Guardian political correspondent. The green light for Norfolk county council’s election to go ahead sets up a clash between Nigel Farage and his one-time fellow Reform Rupert Lowe, with whom he has had a spectacular fall-out. Lowe launched his own Great Yarmouth First Party on Friday in the Norfolk town, which I covered here, and it will be aiming to win all seats in that borough. Farage sought to laugh off the challenge of Lowe’s party when asked about it today but the Norfolk MP’s new national party and rival to Reform, Restore Britain, will aim to act as an umbrella for other independents now, including in areas where elections will go ahead Elsewhere, locations where Reform is expecting to do well include Basildon borough council, Cannock Chase district council, Harlow borough council, West Sussex borough council and Thurrock council. Farage said in Romford today: You can look at Norfolk, Suffolk, East Sussex and West Sussex, and you can say, well, these are the Tory heartlands. But I think there’s going to be a degree of punishment voting going on when these elections happen. So I fancy our chances there. However Reform now faces the challenge of ramping up its candidate selections, which Farage dismissed as a major issue, saying that all parties would now be “panicking” and that Reform would be able to draw on its significantly increased membership. If you think about the run-up to the elections last year in May, we put more candidates in the field than any other party and we had very few problems. Here is Peter Walker’s explainer on the decision to cancel, and then reinstate, local elections in 30 areas in England. Laura Lock, deputy chief executive of the Association of Electoral Administrators, told the PM programme that organising local elections at short notice would be a “bit of an uphill struggle” for election organisers. For example, she said the envelopes for postal votes should have already been ordered. Asked what was easier to organise, a local election or a general election, Lock replied: In many ways, a general election. There’s a lot less candidates. There are a lot less types of ballot paper. You know, 650 different ballot papers that you have for a general election. Whereas when we have all of the councils up for election, you’re talking tens of thousands of different ballot papers to manage. And there’s some complicated elections, where you’ve got 2 or 3 people being elected on a ballot paper. They lead to quite complicated counts for people to actually declare the right result. Ben Quinn is a Guardian political correspondent. I’m at a Reform rally in Romford - officially east London, but where many of the party’s supporters are animated by its desire to make it part of Essex again - ahead of an address by Nigel Farage. In the wake of the government’s U-turn on local elections, the Reform UK leader was in a good mood earlier as he welcomed two more Tory councillors who had defected to Reform in Havering borough council. They are Robert Benham and Christine Vickery. Farage said: It’s clear that Reform has all the momentum and the Conservatives have no chance in London. He also said he believed that the local elections issue was a “resigning matter” for the local government secretary Steve Reed. (See 4.34pm.) Farage was reluctant to put a figure on what the cost of the legal fight case by Reform would have been, laughing and saying it was now “zero,” but it is understood to be upwards of £100,000, which will now be picked up by the government. The Institute for Government thinktank has also joined those saying Labour’s on-off-on again stance on local elections in 30 areas has been a mess. These are from Matthew Fright, an IfG researcher, on Bluesky. The government’s justification - that this would free up capacity for areas undergoing local government reorganisation - was critiqued by many at the time including the Electoral Commission who said it was not a strong enough justification to delay elections. The manner and timing of government announcements - for instance announcing decisions on the last day before Christmas ‘take out the trash’ day - have also been poor and fallen short of the level of respect needed for decision making about elections. There have also been some real implications from this - wasted time in Whitehall and in local government. Wasted legislative time. Officials pausing, cancelling and now restarting elections in their local areas. The tone has also been poor - labelling outgoing councils as “zombie administrations” when these are crucial partners for delivering local government reorganisation and other government initiatives. It should not have taken 2 months to arrive at this decision, and the optics around it look poor. Justifying the changes on the basis of “recent legal advice” only pushes focus back on the original legal advice and government decision. If it is a bad call now, it was a bad call before. These criticisms aside, it is right to reverse the decision when wrong, and also right to recognise the challenges facing local leaders - bringing forward additional capacity funding to help with local government reorganisation. But the government will also need to reflect on how this came about and prevent a repeat in future. The Electoral Reform Society says it is glad all the local elections are going ahead. Darren Hughes, its chief executive, said: We welcome the government’s decision to reinstate the postponed local elections in May. Elections are a vital part of the democratic process, and it is crucial that voters have their say on politicians who make decisions that affect them. While there is precedent for postponing elections in exceptional circumstances, the unprecedented scale of cancellations proposed would have meant councillors in some authorities serving a term and a half without facing voters – that would have been unacceptable. Florence Eshalomi, the Labour chair of the Commons housing committee, has said it was a mistake for the government to propose postponing local elections in the first place. In a statement she said: I welcome this development. As I argued previously, democracy is not an inefficiency that should be cut out during local government reorganisation process. Councils should not have been put in the position of choosing between frontline services or elections. I welcome the indication that the government will provide additional resources to ensure that local council elections can take place and look forward to seeing more detail on this. The Local Government Information Unit (LGIU), a thinktank covering this sector, has issued a statement saying the government should never have proposed postponing the 30 council elections in the first place. It also says the government has been playing “fast and loose” with democracy, and it says the U-turn has made the elections harder to run for councils and political parties. It says: The government should remember that running an election is difficult. As years of our research have shown, the fact that elections are safe and reliable despite severe time and resource constraints is only because of the extraordinary efforts put in by electoral administrators. This most recent announcement means that 30 councils will now have to run elections within an even more constrained timetable. This risks the successful delivery of elections in all of these places, not to mention the additional strain it will needlessly add to the workloads of dedicated staff. On the political side, many parties will now be scrabbling around to find candidates they didn’t think they needed. It’s reckless of the government to play fast and loose with the foundations of democracy. Those councils undergoing local government reorganisation are trying to implement the biggest change in local governance for a generation. This is a project of massive complexity being delivered under intense pressure in challenging timescales. They deserve to have confidence that the government will deliver on its side of the process and not just keep changing its mind. Today’s announcement will further dent councils’ confidence in the government’s consistency of purpose. In a post on Bluesky Heather Green, a legal academic, points out that the government has already laid the statutory instrument delaying these elections. That will have to be annulled. Government has already laid before Parliament the SI cancelling the 30 local elections. It takes effect from 27 Feb &amp;amp; will need to be annulled when Parliament comes back from recess next week. Was laid 5 Feb, after 20 Jan hearing in Reform’s JR. Nigel Farage, the Reform UK leader, has said that the government backed down on postponing local elections because they “obviously knew they were going to lose” if his judicial review went to court. Speaking to broadcasters, he claimed this was also the view of the Electoral Commission, based on an interview its chief executive gave to the Daily Telegraph at the end of last week. Vijay Rangarajan told the paper, which was running a campaign to get the decision to postpone the elections overturned, that the government did not have a “sufficient reason” to justify the elections not going ahead. He said: We would hope that no government would go and say that somehow elections are fungible with other parts of council money. It’s a fundamental point that they have to run elections on those timescales, and we would put the bar very high for postponement. Farage said the U-turn was a victory for his party, but also a “victory for freedom and democracy”. He also said this should be a resignation matter for Steve Reed, the housing secretary who took the decision to postpone the elections in the first place. He explained: If a minister acts in a way that’s illegal, and tries to cancel people’s democratic right to vote whilst they’re still being charged their council tax, I personally think that really is a resignation matter. Farage also critcised the Tories for their record on this issue, pointing out that although they opposed cancellation of the elections nationally, in some areas Tory-led authorities requested a delay. How can you stand up in the House of Commons, senior shadow minister after shadow minister, and say on behalf of the Conservatives it’s wrong that the elections should be cancelled, and yet five of your council areas – in some cases for the second year in a row – want to cancel those elections. Frankly, on this issue, the Conservatives are all over the place and every bit as bad as Labour. Farage said the Lib Dems had also called for a delay in Cheltenham, where they lead the council, even though Ed Davey opposed the government’s move at a national level. Here are three commentators on the government’s decision to go ahead with local elections in 30 areas that only last month it said it was posptoning. From Luke Tryl, the More in Common pollster Probably inevitable. But ends up with worst of all worlds from public opinion perspective. Another u-turn which makes govt look chaotic/weaker but still looks like as people said about winter fuel ‘Govt tried to get away with it and failed’ From the New Statemsman’s Ben Walker Government caves in on cancelled elections for soon to be abolished local authorities. What a shit show. Parties now need to scramble to field a few hundred more candidates. I wouldn’t try to ascertain how aware the voters were that their locales weren’t set to have elections but I wouldn’t be surprised if the swings away from Labour in these parts won’t be bigger. From Sam Freedman, who co-writes the Comment is Freed Substack OK so on the one hand this is good for democracy but on the other means I have do loads more work for my local elections predictions post. Yet another example of this government pointlessly using up political capital for something they had to u-turn on anyway. A real speciality. Rupert Lowe, who was elected as a Reform UK MP, who quit the party after a row with Nigel Farage and who has now launched his own hard-right party, has also welcomed the news that elections are going ahead. Wonderful news. The elections in Great Yarmouth, and elsewhere, are now ON in May after another U-turn. We will fight every seat in my constituency, and we aim to win every seat. Ben Quinn has more on Lowe’s Restore Britain party here. Reform UK spent well over £100,000 preparing its judicial review of the decision to postpone 30 local elections, Christopher Hope from GB News reports. The government has agreed to pay these costs. (See 2.41pm.) Most of the councils where elections were going to be postponed in May are district councils. Richard Wright, the councillor who chairs the District Councils’ Network, has put out a statement on behalf of the DCN. He says people in local government will be “bewilderered” by what’s going on, and he says it implies the government has not got a good grasp on the “huge legal complexity” of reorganisation. He says: Council officers, councillors and local electorates will be bewildered by the unrelenting changes to the electoral timetable. Councils were assured by the government that elections could be legally cancelled but now it seems ministers have come to the opposite conclusion. It’s the government, not councils that have acted in good faith, which should bear responsibility for this mess which impacts on people’s faith in our cherished local democracy. The councils affected face an unnecessary race against time to ensure elections proceed smoothly and fairly, with polling stations booked and electoral staff available. If election cancellations were deemed necessary to free up capacity for local government reorganisation to succeed, councils will now be asking where this leaves the reorganisation timetable. We need to have faith in the government’s decision-making as we work on the biggest shake-up of councils in 50 years – but the government is doing little assure us that it has a strong grasp of the huge legal complexity involved. The Green party leader, Zack Polanski, has welcomed the news that local elections are going ahead in the 30 areas where they were going to be postponed. He says: I am pleased the Government has done another u turn. Attempting to cancel elections, on top of scrapping jury trials, mandatory ID cards, criminalising peaceful protest and harassment of journalists is part of a disturbing authoritarian trend of this caretaker Prime Minister. Kemi Badenoch has posted a statement on social media saying the local elections U-turn shows Keir Starmer is running a “zombie government” that cannot stick to decisions. She says: This is a zombie government. U-turn after U-turn after U-turn. No plan or programme to deliver anything. Even the simple stuff that should be business as usual gets messed up. She also blames Angela Rayner. “The incompetence of Angela Rayner (the supposed leader-in-waiting) who started this when she was running that department has now been exposed.” (This is unfair given that Rayner left the cabinet long before her department took the decision to postpone these elections. But Rayner was in charge when the local government reorganisation started. Today’s announcement contains an implicit admission that reorganisation is costing more than originally planned. See 3.01pm.) Ed Davey, the Lib Dem leader, has welcomed the local elections U-turn. He says it shows why the government should back the Lib Dem proposal to remove the ability of the government to postpone elections using secondary legislation. He says: The Liberal Democrats have fought tooth and nail to stop this stitch-up and the government has been forced into a humiliating U-turn. Labour are terrified of Reform and we are the only party willing to stand up to Farage and beat him, as we do week after week in council byelections. We cannot allow the government to cancel elections on a whim ever again. That is why the Liberal Democrats have brought forward an amendment to change the law, stripping the government of this power and ensuring that the public’s voice is protected by statute, not left to the whims of ministers. Starmer should back these plans immediately. James Cleverly, the shadow housing secretary, says Steve Reed’s credibility has now “completely gone” following this U-turn. I’ve always said these elections should go ahead. Steve Reed’s credibility is now completely gone. This botched cancellation &amp;amp; U-turn will have cost local government £millions, I don’t think this funding will cover those costs. Labour is a joke Here is the list of 30 councils where the government was going to postpone the elections planned for May, but where they will now go ahead. They are listed according to the party affiliation of the council leader. In most cases, the council will be under majority control, but in some cases a leader affiliated to one party will be heading a minority administration, or will be in coalition with other parties. Labour – 21 Adur District Council Basildon Borough Council Blackburn with Darwen Council Cannock Chase District Council Chorley Borough Council City of Lincoln Council Crawley Borough Council Exeter City Council Hyndburn Borough Council Ipswich Borough Council Norwich City Council Peterborough City Council Preston City Council Redditch Borough Council Rugby Borough Council Stevenage Borough Council Tamworth Borough Council Thurrock Council Welwyn Hatfield Borough Council West Lancashire Borough Council Worthing Borough Council Liberal Democrat – 2 Cheltenham Borough Council Pendle Borough Council Conservatives – 5 East Sussex County Council Harlow District Council Norfolk County Council Suffolk County Council West Sussex County Council Independent – 1 Burnley Borough Council Green – 1 Hastings Borough Council The Ministry of Housing, Communities and Local Government has released the text of a letter that Steve Reed, the housing secretary, has sent to council leaders about the decision to go ahead with local elections that were going to be postponed. Reed says the government will allocate £63m to help the councils in England fund the re-organisaton programme. (Areas where county councils operate alongside district councils will see that two-tier system abolished, and unitary councils taking over instead.) Reed says: I recognise that many of the local councils undergoing reorganisation voiced genuine concerns about the pressure they are under as we seek to deliver the most ambitious reforms of local government in a generation. I am therefore announcing today that we will provide up to £63m in additional capacity funding to the 21 local areas undergoing reorganisation across the whole programme, building on the £7.6m provided for developing proposals last year. I will shortly set out further detail about how that funding will be allocated. My officials will be in touch with those affected councils to understand if any further practical support will be required. Reed justified his original decision to cancel some elections on the grounds that those councils were all saying holding elections would make reorganisation more difficult. The Ministry of Housing, Communities and Local Government has issued this statement about the decision not to postpone local elections in 30 areas. A spokesperson said: Following legal advice, the government has withdrawn its original decision to postpone 30 local elections in May. Providing certainty to councils about their local elections is now the most crucial thing and all local elections will now go ahead in May 2026. Whether or not the elections were being cancelled or just postponed is arguable. Future elections were always going to go ahead in these areas, when council reorganisation (the replacement of a two-tier council structure with unitary councils) was complete. So in that sense the elections were just being postponed. But by that point the old councils will no longer be in existence, so elections to those bodies were going to be cancelled. Nigel Farage, the Reform UK leader, has just posted on social media the letter sent out by the government confirming it has dropped its plans to delay elections in 30 council areas. Farage says: We took this Labour government to court and won. In collusion with the Tories, Keir Starmer tried to stop 4.6 million people voting on May 7th. Only Reform UK fights for democracy The Times is reporting that the government “has abandoned its attempt to delay elections to 30 councils across the country, after being warned by lawyers that the move would be illegal”. Reform UK said it was going to challenge this decision via judicial review, and the first mainn court hearing in the case was due later this week. The government has not commented on the Times story yet. I’ll post their response as soon as I get it. The Internet Watch Foundation has welcomed the government’s commitment to tighten rules relating to social media and teenagers. (See 9.32am and 11.55am.) Hannah Swirsky, its head of policy, said: New tech can be a dangerous frontier. It is crucial legislation can keep pace with the evolving threats … We are very pleased to see the government taking further steps. Now, we urge them to provide clear guidelines on how companies must build platforms which are safe by design, and where children are a central consideration rather than an afterthought. At the Downing Street lobby briefing the PM’s spokesperson also said journalists must be able to do their job “without fear or favour” in response to questions about the Labour Together investigation into reporters writing about it. The spokesperson would not give details about the Cabinet Office investiation (see 9.53am and 10.45am) into what happened. But he confirmed that “of course journalism and the free press is a cornerstone of any democracy”. The spokesperson also said Keir Starmer had full confidence in Josh Simons, the Cabinet Office minister who commissioned the report when he was running Labour Together before the general election. Asked if Simons would be sacked if he were found to be at fault, the spokesperson said he would not comment on a “hypothetical” scenario”. Dame Antonia Romeo, the permanent secretary at the Home Office, is tipped to replace Chris Wormald as cabinet secretary. But Sir Simon McDonald, a former permanent secretary at the Foreign Office, has suggested she should not get the job until there has been a further inquiry into a complaint about the way she treated colleagues when she worked for the Foreign Office in 2017. Today Harry Farley from the BBC has a report quoting from a letter sent to Romeo by the government’s chief people officer, Rupert McNeil, after this complaint was investigated. Romeo was told there was “no case to answer”, but it was also put to her that she might benefit from advice about her leadership style. In the 2017 letter McNeil said: I appreciate processes of this type are always distressing, but as discussed, they are rich sources of feedback about management and leadership style. I know from our conversation that you are very alert to this, and this process has given you rich insight. At the No 10 lobby briefing, asked about this report, the PM’s spokesperson said the letter quoted by the BBC confirmed there was no case to answer. He said Romeo was “an outstanding leader with a 25-year record of excellent public service”. The BBC report also quotes McNeil as saying the “smears” being thrown against Romeo now are “reprehensible and hypocritical”. Q: If things are going so well, why did you almost lose your job? Starmer says he is angry that he was lied to by Peter Mandelson about his relationship with Jeffrey Epstein. He says he has apologised for that. Q: But, before you appointed him ambassador, you knew that he had stayed in Epstein’s house after Epstein had been convicted. It was in the FT. Starmer says Mandelson was asked about that. He gave an answer that was “not truthful”. He says he cannot disclose the details because there is a police investigation going on. Q: What do you regret most about your time in office? Starmer says he wants to focus on things that have gone well. Some things that have gone very right for the government. Waiting lists are down. Interest rates are down for anybody on mortgage. That’s a massive step in the right direction. Inflation is coming back down to 2%. We’re now leading on the international stage. Vine repeats the claim about considering a social media ban for under-16s amounting to a U-turn. Starmer says what matters is to get this right. He says there are no easy answers on this. He is a “pragmatist”, he says. Vine starts by asking about social media and children. Starmer starts by repeating the points that he made at this event earlier; that he knows parents have concerns; that the government intends to act, and act, quickly once its three-month consultation is over; and that this could lead to a ban on under-16s accessing social media, but that this is not the only option, because other, more specific restrictions, might be preferable. Q: Lisa Nandy used to say you were not considering a ban. So is this another U-turn? Starmer says he does not accept that. He says a ban is “a possibility”. But it is not the only option, he says. He quotes the concerns of the NSPCC about a total ban. (See 12.05pm.) UPDATE: Starmer said: I think this is such an important issue that we need to go into it with a ban as a possibility. I definitely want to look at the evidence over the three months of the consultation. There are powerful arguments on both sides. Some people simply say just get all under 16 years of social media, and that’s the end of it. NSPCC, obviously an organisation very concerned with children’s protection, says no, it’ll push children to even darker places. Others – I was with young people this morning, 16 and 15-year-olds who are actually going to be affected by this – they said to me, look we get our news from social media, we don’t read the papers, and therefore you’ll stop us accessing the news. We need to look at all of this in the round. Keir Starmer is now being interview on Radio 2 by Jeremy Vine. You can listen here. Keir Starmer’s new post on his Substack account also contains an explicit statement staying saying social media is harming our children. This is not surprising; the government would not be tightening the rules on teenagers and young children accessing social media it did not accept it is causing problems. But this is not something that ministers normally express this bluntly. Starmer said: When Facebook first launched in 2004, it was a pretty simple concept. Make a profile, post updates that people could look at in the order they were posted, like and comment on what your friends had to say. That is a world away from the algorithms, endless scrolling, For You pages and private chats that make up the modern world of social media. In the past 20+ years, social media has evolved to become something completely different from the simple, stripped-back pages it was in its conception. And in that evolution, it has become something that is quietly harming our children. A harm that, due to the inaction of previous Tory governments, we are allowing to happen. (While Starmer is right to say that this is a problem that developed while the Conservatives were in power – the iPhone had only just been invented when the last Labour government left office, teenagers did not have smartphones and Instagram and TikTok did not even exist – it is probaby unfair of him to blame “Tory inaction”. The Labour party was not warning about the risks of social media at the time either.) In her interviews this morning Liz Kendall, the technology secretary, said that organisations like the NSPCC were among those saying that specific restrictions on teens using social media might be more helpful than a blanket ban on under-16s using it, as has been implemented in Australia. (See 9.32am.) Keir Starmer subsequently adopted this line at his event this morning, say</x:v>
      </x:c>
      <x:c r="I8" s="12" t="str">
        <x:v>ing the government’s consultation would not necessarily lead to a full ban. (See 10.40am and 11.55am.) In its news release today, the government quotes Chris Sherwood, the CEO of the NSPCC, making this point. Sherwood said; We welcome the prime minister’s promise to act quickly and decisively to hold tech companies to account and make the online world safer for children. The status quo can’t continue, and without real change the pressure for an under‑16 social media ban will only increase. Much of what is being proposed mirrors what we have been pressing for: proper age‑limit enforcement, an end to addictive design, and stronger action from platforms, devices, and AI tools to stop harmful content at the source. Delivered swiftly, these measures would offer far better protection than a blanket ban. At his event this morning Keir Starmer made it clear that the laws on how teens access social media will definitely be tightened. But he said he was “open-minded” about whether this would include a full, Austalian-style ban. Starmer suggested that one option will be to limit the technology that allows “doomscrolling”. He said: We’ve taken the powers to make sure we can act within months, not years. We also need to act very quickly, not just of the age concern, but on the devices and applications that make the sort of auto-scrolling, the constant glueing to the machine that you can never stop scrolling. In a post on his Substack account, Starmer said out in more details the options that could be implemented as a result of the consultation being carried out. He said: We will be going to parliament for new government powers, enabling us to act on the findings of the social media consultation where the evidence suggests we need to. This could include: -Setting a minimum age limit for social media: unlike the Tories, who took years to pass the Online Safety Act, we will take powers that would allow us to implement a minimum age for social media in a matter of months to prevent kids from accessing harmful social media. -Restricting specific functionalities: that are detrimental to kids’ wellbeing and keep them hooked to their screens like endless scroll or autoplay -Limiting VPN access for kids: to make it harder for kids to get around age limits of services or certain functionalities. This is all designed to put the wellbeing of children first. In his Q&amp;amp;A with journalists, Keir Starmer was also asked to respond to a report by the BBC’s James Landale saying he is looking at plans to raise defence spending to 3% of GDP by the end of this parliament. In the past Starmer has just said that he would like to do this at some point in the next parliament. In his reply, Starmer said that at the Munich Security Conference over the weekend he was arguing that the UK, and Europe as a whole, needs to “step up”. He said the threat from Russia was “obvious”. He went on: We want a just and lasting peace, but that will not extinguish the Russian threat, and we need to be alert to that, because that’s going to affect every single person in this room, every single person in this country, so we need to step up. That means, on defence spending, we need to go faster. We’ve obviously made commitments already in relation to that. But it goes beyond just how much you spend, it’s also whether you coordinate and collaborate with other like-minded countries, particularly in Europe. Starmer did not directly address the report saying he is looking at raising defence spending to 3% of GDP by 2029 – even though he was specifically asked to by the reporter asking his question. But he did say he wanted to “go faster” on defence spending, which implied that the BBC report is on the right track. Starmer ended his reply saying that, on improving Nato’s defence capability, he was “absolutely determined the United Kingdom will show the leadership that’s necessary”. Q: Do you support in inquiry into Labour Together commissioning an investigation into journalists? Starmer says there will be a Cabinet Office investigation into this. “And quite right too,” he adds. He says he did not know anything about this. It “absolutely needs to be looked into”, he says. Starmer is now taking questions from the media. Q: What is your gut view on a ban on social media for under-16s? At one point it seemed unlikely. Starmer says the government needs to move “at speed”. The Online Safety Act is good legislation, but it took eight years. He won’t wait that long. He says the consultation will definitely lead to action. And it will be introduced quickly. He says he is “open-minded”. He can see the argument for a ban, and the argument for a more restrictive, content-based approach, that would allow teenagers to carry on seeing some content, like news. But there will be action. Starmer denounces Grok for allowing its users to create images digitally undressing people. When the government first complained, Grok just made that a premium service. The government fought them on that, he says. Q: How will young people be involved in the consultation on social media? Starmer says young people will be involved in this. That is important. He says there are strong views on a social media ban for under-16s. Some people want a ban; some people have concerns about it. But he says the government has to take some action quickly. It cannot let this go on for years and years, he says. Starmer went on to highlight the social media proposals announced today. (See 9.32am.) He says this is an issue that worries all parents. He is now taking questions from member of the public and professonals invited to the event. Q: Given you are giving 16-year-olds the vote, what provisions will you put in place to ensure teenagers have the information they need. Starmer says he is a “big advocate” of votes at 16. He says young people should have a say in politics. Firstly, I’m a big advocate of votes at 16 and 17. At 16 and 17, you are old enough, mature enough to make a decision about a government that you want to be. We do need to make sure the citizenship is part of what we look at. We’ve broadened the curriculum in schools because I think children and young people ought to learn about citizenship and how we operate the society more generally, very important skills they need to learn. I’m acutely aware of your point about news, because in politics, there’s always been a heavy sort of focus on newspapers, but frankly, I don’t think many people and young people certainly ever read newspapers any more, or even sit down as a family and watch the six or 10 o’clock news it’s much more likely to be through social media. He asks the questioner, who is 17, where he gets his news. The young man says he is an anomaly; he does watch the news on TV at 10pm. But his friends get news from TikTok, he says. UPDATE: Starmer said: I have two teenage children, my boy is 17 and my girl is 15. So I see this in the way many, many parents do, with a real sense of concern about the time that’s spent on social media, the content that’s available on social media, the addictive nature of a lot of what’s happening on social media, the way it draws children in and takes away other aspects of their growing up … I don’t think there’s a parent in the country who isn’t worried about this, by the way, I really don’t.” We as a government need to be up there alongside parents, providing leadership and support for them when it comes to social media, and we will now. We’ve already announced that we’re going to do a consultation on banning social media for under-16s, and that will start very soon. But I’m really clear the status quo, things as they are now, is not good enough. Nobody can make the argument that things can be left as they are. They can’t, they’re not protective of children, and we intend to act. Keir Starmer is speaking at an event this morning in south-west London. Sky News has live footage. He says he wants every child to go as far as their talent will take them. But it does not always work like that, he says. He says he was the first person in his family to go to university. But the system did not work for his brother, who had difficulties learning, he says. He says the government will fight for these people. It needs to show that it is on their side. He was fast-tracked throught the system to get to university. He went from a village on the Surrey-Kent border and went to university in Leeds, which set him up for a career in the law. But the system did not work for his brother. He had to fight every day to get what he needed. He says his dad used to tell Starmer that he was doing no better than his brother, Nick. He wanted to instill in Starmer the belief that he and his brother were of equal worth. Starmer says the government is promoting apprenticeships. But he says that, although people claim that apprentices are of equal value to degrees, people don’t really believe that. He says he wants to change that. In her interviews this morning Liz Kendall, the technology secretary, said that parliament should find a way of updating internet safety legislation much more quickly than happens now. She said MPs first started discussing the Online Safety Act in 2017, six years before it finally became law. “That process is way too long, because the technology is changing so quickly,” she told the Today programme. She said, just as MPs debate a finance bill every year after the budget to update tax laws, “I think we’ve got to think much more like that with technology because it is changing so fast.” In her interviews this morning Liz Kendall, the technology secretary, was also asked about the controversy about the Labour Together thinktank that commissioned a report that made “baseless claims” about journalists who were invesigating it. Kendall told Times Radio that the Cabinet Office was “looking into” this. She said: The Cabinet Office is looking into the facts of this issue. And I think that’s right because the freedom of the press to ask difficult questions, including of cabinet ministers, is absolutely essential. And the journalists in question, I know, are extremely good. They make our lives difficult, but that is their job. The report was commissioned by Josh Simons, who was running Labour Together when the party was in opposition. He is now a junior minister, working in the Cabinet Office and in Kendall’s Department for Science, Innovation and Technology. Asked if it was “tenable” for him to carry on as a minister, Kendall told the Today programme: “He has welcomed the investigation, rightly so, by the regulatory body, the body responsible for regulating public affairs.” Good morning. Parliament is in recess this week, but politics goes on, and the government an announcement about social media. The Online Safety Act, a vast piece of legislation that was first proposed in the last decade and passed in 2023, is only now fully coming into force. But already there are claims that it is out of date and, under pressure from campaigners – and particularly the Conservative party – the government last month announced that it will consult on the case for banning under-16s from social media. Australia has introduced a ban of this kind, and in countries around the world governments are under growing pressure to do the same. The Tories are fully committed to a ban for under-16s, and recently won a vote on this in the Lords. Today’s government “announcement” on social media is actually three announcements. There are explained in this news release from No 10. They are: A loophole is being closed to ensure that material produced by AI chatbots is covered by Online Safety Act rules. When the act was being passed, AI chatbots weren’t widely available. Robert Booth has focused on this in is overnight Guardian story. The government is committing to legislating now so that, when its three-month consultation on a social media ban for under-16s wraps up later, if it decides it wants to change the law, it will be able to do so via secondary legislation (ie quickly), without having to wait for a new bill. (This is broadly what the Labour MP Fred Thomas, who is pushing for a ban on under-16s using social media, was arguing for after the government lost the vote on this in the Lords last month.) The government is also promising legislation to ensure that, if a child dies and social media is deemed relevant, that content gets preserved, not wiped. Campaigners refer to this as Jool’s law. Anyone following the way this debate has developed at Westminster over the past year may think that a social media ban for under-16s is inevitable. Within months, the government has gone from saying a ban would be unworkable to sounding on the verge of implementing one. But, in interviews this morning, Liz Kendall, the technology secretary, stressed that this was not a done deal. She told the Today programme: We do think it’s right to have a consultation on whether or not to ban social media for the under-16s Lots of people have made up their minds, Lord Nash (the Tory peer who tabled the amendment that led to the government defeat in January) included. But let me just say this. There are organisations, including the NSPCC and the Molly Rose Foundation and the Internet Watch Foundation, who are worried that a ban wouldn’t solve the problem because it would just force some of this stuff deeper [into the dark web], that the children would try and get around it, that it would create a cliff edge at 16. So I think it is the right and responsible thing to do to have a consultation. I will post more from Kendall’s interviews soon. Because of recess, there is not much in the diary for today. These are the events we know about. Morning: Keir Starmer is expected to record a clip for broadcasters. 11.30am: Downing Street holds a lobby briefing. 4pm: Nigel Farage, the Reform UK leader, holds a press event in Romford, ahead of a rally later in the evening. Farage will be with Andrew Rosindell MP and “special guests”. If you want to contact me, please post a message below the line when comments are open (between 10am and 3pm), or message me on social media. I can’t read all the messages BTL, but if you put “Andrew” in a message aimed at me, I am more likely to see it because I search for posts containing that word. If you want to flag something up urgently, it is best to use social media. You can reach me on Bluesky at @andrewsparrowgdn.bsky.social. The Guardian has given up posting from its official accounts on X, but individual Guardian journalists are there, I still have my account, and if you message me there at @AndrewSparrow, I will see it and respond if necessary. I find it very helpful when readers point out mistakes, even minor typos. No error is too small to correct. And I find your questions very interesting too. I can’t promise to reply to them all, but I will try to reply to as many as I can, either BTL or sometimes in the blog.</x:v>
      </x:c>
      <x:c r="J8" s="12" t="str"/>
    </x:row>
    <x:row r="9" ht="110" customHeight="1">
      <x:c r="A9" s="12" t="n">
        <x:v>6</x:v>
      </x:c>
      <x:c r="B9" s="12" t="str">
        <x:v>NEWS-guardian_api-0f4380a6f846</x:v>
      </x:c>
      <x:c r="C9" s="12" t="str">
        <x:v>Revisiting the rose-tinted British history I was taught 60 years ago | Letter</x:v>
      </x:c>
      <x:c r="D9" s="12" t="str">
        <x:v>https://www.theguardian.com/education/2021/mar/10/revisiting-the-rose-tinted-british-history-i-was-taught-60-years-ago</x:v>
      </x:c>
      <x:c r="E9" s="12" t="str">
        <x:v>data/raw/news/text/NEWS-guardian_api-0f4380a6f846.txt</x:v>
      </x:c>
      <x:c r="F9" s="12" t="str">
        <x:v>data/raw/news/text/NEWS-guardian_api-0f4380a6f846.txt</x:v>
      </x:c>
      <x:c r="G9" s="12" t="n">
        <x:v>1224</x:v>
      </x:c>
      <x:c r="H9" s="12" t="str">
        <x:v>Nigel Farage must know but doesn’t seem to care that history is written by the winners (Nigel Farage quits as Reform UK leader in step back from party politics, 8 March) as he worries about what our children might learn today. I was brought up 60 years ago with one version of history that celebrated Britain’s amazing inventors, our daring explorers and empire-builders, and a glorious story of our victory in the second world war. I still genuinely celebrate lots of that history, but have now been challenged to recognise that Britain was built by slaves from Africa and from Lancashire towns as well as cotton-milling entrepreneurs; that daring explorers from Norway and Denmark came to our shores and in time enriched our nation; that Americans, Russians, Poles, and countless other nationals also defeated Hitler. As a child I never learned that women’s history was so full of pain and oppression. The list goes on and on, of the losers who didn’t write my history books but who now may be given a chance to be heard. Thank heaven for those who are rattling the cages, who are teaching our children that we need to study histories, plural and not singular, and learn from them. Rev David Gibson Newark, Nottinghamshire</x:v>
      </x:c>
      <x:c r="I9" s="12" t="str"/>
      <x:c r="J9" s="12" t="str"/>
    </x:row>
    <x:row r="10" ht="110" customHeight="1">
      <x:c r="A10" s="12" t="n">
        <x:v>7</x:v>
      </x:c>
      <x:c r="B10" s="12" t="str">
        <x:v>NEWS-guardian_api-1593f58b94d2</x:v>
      </x:c>
      <x:c r="C10" s="12" t="str">
        <x:v>Millwall stadium controversy intensifies as false funding claims revealed</x:v>
      </x:c>
      <x:c r="D10" s="12" t="str">
        <x:v>https://www.theguardian.com/football/2017/jan/19/millwall-stadium-false-funding-claims-the-den</x:v>
      </x:c>
      <x:c r="E10" s="12" t="str">
        <x:v>data/raw/news/text/NEWS-guardian_api-1593f58b94d2.txt</x:v>
      </x:c>
      <x:c r="F10" s="12" t="str">
        <x:v>data/raw/news/text/NEWS-guardian_api-1593f58b94d2.txt</x:v>
      </x:c>
      <x:c r="G10" s="12" t="n">
        <x:v>8228</x:v>
      </x:c>
      <x:c r="H10" s="12" t="str">
        <x:v>The sports foundation at the heart of the Millwall FC compulsory purchase battle has been making false claims of having a £2m funding agreement from Sport England during the ongoing CPO process, the Guardian can reveal. The claims have been made by the Surrey Canal Sports Foundation, a charitable company set up and backed by loans from Renewal, an offshore-registered developer with historical connections to senior Lewisham council officers that stands to benefit from the seizure of Millwall’s land. The revelations will be seized on by opponents of the scheme and could throw into doubt the future of the entire £1bn project. The compulsory purchase is the subject of local protest and wider public concern, with suggestions from Millwall’s chief executive that the fallout from the seizure of land around the Den could even threaten the club’s future existence in London. Sport England is the UK’s most prestigious grassroots sport funding vehicle. The £2m Sport England “pledge” has been mentioned repeatedly as a material factor by Lewisham council and the Renewal‑backed foundation, whose functions are key to the viability of the scheme. Such a grant would in practice act as a major rubber-stamp of viability and authenticity, a threshold that once passed “unlocks” access to other potential sources of charitable and public money. The £2m claim was present on 25 June 2014 in a report to Lewisham’s mayor and cabinet recommending the grant of half a million pounds of public money to the foundation. It was repeated as “a pledge in principle” in CPO documents produced by the council last year. The claim of £2m Sport England funding has been splashed across the Surrey Canal Sports Foundation website, which was taken down within the past 24 hours. In fact no such funding agreement exists. No application for a funding agreement is in process. Sport England has confirmed that it has had no official correspondence with the foundation since September 2014. Sport England told the Guardian: “In 2010 we received a funding application from the Surrey Canal Sports Foundation, but this was subsequently withdrawn in 2013. We therefore have no funding agreement, of any kind, in place with them.” In spite of this the £2m claim was listed in a table of “capital pledges” in the written section of the foundation’s 2014-15 accounts, documents that are subject to strict duties of accuracy and accountability. These accounts, which are an important source of information for potential donors and partners, were signed off by the former Tory minster Steven Norris. Norris told the Guardian that Surrey Canal Sports Foundation originally approached Sport England in 2011 but that no application had been live since October 2013. The Surrey Canal Sport Foundation was created to raise £40m in order to create a “sports village” as part of the development around the Den. It remains key to the argument in favour of public interest for the CPO-based scheme. The foundation’s directors include Sir Steve Bullock, the mayor of Lewisham; Norris; and Jordana Malik, a director of Renewal. Baroness Tanni Grey-Thompson was a trustee but is understood to have recently resigned from her position at the charity. It is this foundation, whose accounts are issued jointly by all directors, that has claimed to have the £2m of Sport England funding. In January 2014, five months before half a million pounds of Lewisham council public money was granted to the foundation, Norris wrote in a Surrey Canal Sport Foundation “pitch” brochure called New Energy: “The Foundation already has £12m in commitments from Sport England and the Developer Renewal … I would ask the London Borough of Lewisham to publicly and financially support this project.” The issue of how the mistaken claim of a funding agreement has arisen and then been repeatedly used for promotional effect will be a matter of concern for all connected with the development and potentially for other authorities. It would appear that correspondence between Sport England and the foundation in 2013 has been misinterpreted, by whatever means, to amount to an offer of tangible funding, and then repeated without correction to the present day. The Guardian understands the foundation was placed on Sport England’s “strategic facilities list” in 2013, alongside a huge number of other projects, an acknowledgment of interest in and encouragement for its long‑term plans, with standard assurances that this was not a guarantee of funding. Sport England has hundreds of projects of interest in the field at any time. It donates funds only at the end of a rigorous formal application process, with conditions to be met, contracts signed and all final hurdles satisfied. Bullock, the Lewisham mayor, could now have some urgent questions to answer over his personal responsibility for information published on behalf of a charitable company of which he is a director. Bullock told the Guardian: “On the basis of the information provided at meetings of the SCSF Board I am satisfied that funding has been promised by Sport England.” Where this leaves the sports complex at the heart of the CPO proceedings remains to be seen. Throughout discussion of Millwall’s exclusion from the New Bermondsey development the sports hub has been held up as an example of tangible public benefit. Questions will be asked now about the basic functions governance of the foundation. According to documents seen by the Guardian, even as the foundation was being awarded half a million pounds by Lewisham council in July 2014 its website still listed its phone number as 01234657890, which connected to an automated message advertising that number for sale. On the same website the Surrey Canal Sport Foundation’s official address was recorded as 29 Acacia Road; an apparently unconnected location in north London that appears, in a bizarre detail, to be a bodged version of the home address of the cartoon superhero Bananaman. The foundation does have fine aims for its future expansion. Currently it hosts the London Thunder basketball team and has 20 ping-pong tables available for public use. It is housed in a large converted hall rented at £156,234 a year from Renewal, running up what is a circa-£1m debt to the offshore-registered developers. Recent accounts reveal the foundation has had zero income for the past three years. Norris told the Guardian: “The Surrey Canal Sports Foundation approached Sport England in 2011 to seek a £2m funding commitment for the proposed sports facilities at New Bermondsey. “Our initial application was placed on to Sport England’s Iconic Facilities Fund. In October 2013 we received a formal letter from Sport England which referenced their ongoing support for the project and that the application was now being moved on to the Strategic Facilities Fund. “Whilst the SCSF has made significant progress over the past four years we have not progressed a more formal application since October 2013 due to the inordinate length of the compulsory purchase order process and ongoing land assembly led by Renewal. “We are still awaiting the outcome of the CPO process but following this do intend to re-engage Sport England and will be making a formal application for funding in the coming weeks.” As the Millwall CPO wrangle takes its latest twist there will be serious questions over the future of the project in its current form. Concerns have already been raised about the propriety of a scheme that would see public land sold off to a private developer with historical personnel links to Lewisham council and no history of attempting a development on this scale, in the process taking land from the borough’s outstanding community sporting asset. For the past four years the Surrey Canal Sports Foundation and its planned sporting village have been an integral plank of this scheme. It now appears that false claims of a major funding pledge have accompanied the foundation on that journey. The compulsory purchase order is due to be re-heard on 11 February. Before then it seems likely both the mayor, the trustees of the Renewal-backed sports foundation and other interested parties will be anxious to uncover exactly how such confusion could have occurred.</x:v>
      </x:c>
      <x:c r="I10" s="12" t="str"/>
      <x:c r="J10" s="12" t="str"/>
    </x:row>
    <x:row r="11" ht="110" customHeight="1">
      <x:c r="A11" s="12" t="n">
        <x:v>8</x:v>
      </x:c>
      <x:c r="B11" s="12" t="str">
        <x:v>NEWS-guardian_api-165b44f90fe0</x:v>
      </x:c>
      <x:c r="C11" s="12" t="str">
        <x:v>The Guardian view on the last PMQs: now the unnecessary election | Editorial</x:v>
      </x:c>
      <x:c r="D11" s="12" t="str">
        <x:v>https://www.theguardian.com/commentisfree/2017/apr/26/the-guardian-view-on-the-last-pmqs-now-the-unnecessary-election</x:v>
      </x:c>
      <x:c r="E11" s="12" t="str">
        <x:v>data/raw/news/text/NEWS-guardian_api-165b44f90fe0.txt</x:v>
      </x:c>
      <x:c r="F11" s="12" t="str">
        <x:v>data/raw/news/text/NEWS-guardian_api-165b44f90fe0.txt</x:v>
      </x:c>
      <x:c r="G11" s="12" t="n">
        <x:v>3878</x:v>
      </x:c>
      <x:c r="H11" s="12" t="str">
        <x:v>The business of the shortest parliament since 1974 is nearly done. It all ends at midnight on 2 May, just 25 days before its second anniversary, in an unnecessary election imposed on a reluctant country by a prime minister who disguises her political objective of a greatly enlarged majority behind a spurious narrative of damaging division. It is important, as the campaign progresses, to bear in mind Theresa May’s real purpose: to establish herself as the unchallenged interpreter of Brexit. There was something of this ruthlessness in this afternoon’s final prime minister’s question time. Behind the rowdiness and the fuzzy sentimentality of a final session, Mrs May was rarely rattled and never surprising. In the set piece exchange with the Labour leader, the words “strong”, “strength” and “stability” featured in every answer. She and Jeremy Corbyn operated on entirely separate tracks, he spattering her with questions on the NHS, taxes, pensions and the housing crisis, all of which she ignored in order to launch her prepared attacks. MPs are often, mostly unfairly, treated with derision. It is worth remembering that government was the better for some of those who are retiring: the former Labour cabinet minister Alan Johnson and the effective Conservative chair of the Treasury committee, Andrew Tyrie. Fiona MacTaggart has been a tireless defender of women’s rights. Even Douglas Carswell’s idiosyncratic desertion of the Tories for Ukip, a party where he never really belonged, will have its place in history. It was not a good sign for Labour that some of its MPs are leaving openly expressing dissatisfaction with the leadership. Some Conservatives, like the one-time social services secretary Peter Lilley and the rightwing backbencher Gerald Howarth, go having succeeded in their life’s work, to get Britain out of Europe. These are MPs whose uncompromising Euroscepticism has been the stuff of nightmares for successive party leaders; they are the people David Cameron may have had in mind when he talked optimistically yesterday about the referendum taking the poison out of politics. Prime minister’s questions is a tribal activity much more important for the morale of MPs at Westminster than it is for the country beyond. The performances that work in the small, confrontational chamber of the Commons are no guarantee of campaigning success, as the fate of opposition leaders like William Hague or even David Cameron shows. But there are two points to take away from the final session of this parliament. The first was the subdued mood among Labour backbenchers all too gloomily aware of what the current polls indicate about their own chances of being back on the green benches in a couple of months’ time. Not since 2001 has an election campaign begun with the government so confident of success, nor an opposition so resigned to defeat. The second is that it is quite possible to wrong-foot Theresa May. Mr Corbyn did it in February when he read out leaked text exchanges between the leader of Surrey council and officials in the Department for Communities and Local Government, exposing a sweetheart deal over spending to avert a local referendum. Today the SNP leader, Angus Robertson – as he often does – had her on the back foot over the triple lock on pensions. It may well be that for the progressive cause, this campaign will be an exercise in damage limitation. The demands a relentless determination to hold Theresa May and her party to account for what they have done, and what they intend to do. This article was amended on 27 April 2017. It mistakenly said that the Labour MP Ian Lavery was retiring. He is not, he has announced he is standing again at the election. It also incorrectly stated he was the chair of the business committee. The person in that role is the Labour MP Iain Wright; Lavery is a shadow cabinet office minister.</x:v>
      </x:c>
      <x:c r="I11" s="12" t="str"/>
      <x:c r="J11" s="12" t="str"/>
    </x:row>
    <x:row r="12" ht="110" customHeight="1">
      <x:c r="A12" s="12" t="n">
        <x:v>9</x:v>
      </x:c>
      <x:c r="B12" s="12" t="str">
        <x:v>NEWS-guardian_api-1d67c0c9dc56</x:v>
      </x:c>
      <x:c r="C12" s="12" t="str">
        <x:v>You look familiar: on patrol with the Met’s super-recognisers</x:v>
      </x:c>
      <x:c r="D12" s="12" t="str">
        <x:v>https://www.theguardian.com/uk-news/2016/nov/05/metropolitan-police-super-recognisers</x:v>
      </x:c>
      <x:c r="E12" s="12" t="str">
        <x:v>data/raw/news/text/NEWS-guardian_api-1d67c0c9dc56.txt</x:v>
      </x:c>
      <x:c r="F12" s="12" t="str">
        <x:v>data/raw/news/text/NEWS-guardian_api-1d67c0c9dc56.txt</x:v>
      </x:c>
      <x:c r="G12" s="12" t="n">
        <x:v>19240</x:v>
      </x:c>
      <x:c r="H12" s="12" t="str">
        <x:v>When Gary Collins arrived at work in Stoke Newington police station, east London, in January last year he was told a teenage boy had been stabbed to death. Jeremie Malenge, 17, was found slumped on the road with stab wounds in his chest. There was CCTV footage of the boy being chased by three figures wearing sports clothes. After they saw the video, the murder investigation team called Collins. The 48-year-old police officer is wirily framed and casually dressed. He grew up in Hackney; as a teenager he never imagined he was going to end up in the police force, but he has been an officer for 21 years. His speciality is identification. “I get called up all the time,” he says. “I’m usually the person who is shown images first.” We are in a bland-looking council building near the town hall where Collins works as part of the Gang Unit. After the Malenge murder the investigation team drove him to Hackney Central station. They led him into a cubicle and showed him CCTV footage of the suspects running through the station. It was poorly lit and the attackers were a shadowy blur, their faces largely obscured. Collins studied the video and immediately identified two of the figures, from memory, based on the few facial features he could make out. The third figure also looked familiar. Later that weekend, Collins was watching a rap video on his mobile phone (many of the characters he ran into on the street made rap videos) and realised one of the men in the video was the third figure in the footage. When he returned to work he supplied the third name. Detectives quickly found and charged the three men Collins had identified – and a woman who had not appeared in the CCTV footage – with murder. They went on trial at the Old Bailey that July. Collins gave evidence and was cross-examined regarding his identifications. On 21 August 2015, the jury convicted all four suspects of murder; the following month they were all sentenced to between 12 and 18 years. Collins had realised soon after joining the police force in 1995 that he had a particular gift. “I was very good at looking at pictures on walls and going out on patrol and saying, ‘That’s that person.’” He recalls “stopping people once and remembering them years later”. While working with the Gang Unit, Collins would patrol the streets encouraging young people to steer away from crime. “I know burglars, drug addicts, pickpockets; people from all walks of life,” he says. That street knowledge became particularly helpful following the London riots in 2011. “I was off at the time,” he says, “but I was watching Sky News and I immediately recognised some people.” Collins cut short his holiday to go into work and was tasked with identifying the rioters. “I spent six months going through the CCTV,” he says. “The figures in the footage would often have their faces covered – there were lots I identified just by their eyes.” Collins eventually named 190 people, the most identifications by any one officer in the Metropolitan police. Some 90% of these were made from street knowledge and memory. Most of the people that Collins identifies in Hackney are young men he has never met but seen only on screens. He often sees them in the flesh for the first time when he provides testimony in court. “I was in court the other day and the defendant was sitting close by with his barrister,” he tells me, “and he asked who had identified him. The barrister pointed at me and the guy said, ‘Who the fucking hell is he? I don’t know him!’” The news of Collins’ success brought him to the attention of Mick Neville and Paul Smith at Scotland Yard. Neville had researched the use of CCTV in the court system and discovered that it was very poorly used by the police. This prompted him and Smith to set up a special unit to collate and share images of unidentified criminals. Next they had to find officers who could help them sort through the images. During the riots certain names kept recurring, of officers who were recognising more people than any of their colleagues. Smith and Neville visited police stations, holding open surgeries to ask which officers were making the most identifications. “Some officers were making one or two,” says Smith, “and others were making repeat identifications week after week.” Carla Snook was one of those officers. She is 39, cheerful and bubbly, with straight long blond hair. When she was a young girl and went on holiday with her family, Snook would be convinced she was spotting children who had gone to her school. “But they didn’t,” she says, “it was people I had seen at the airport, or in fleeting glances on the beach or on the plane. I would mention it to my parents and they would think I was crazy.” Snook joined the police force 13 years ago and worked in Belgravia, west London, on the Safer Neighbourhoods intelligence desk. She would often look at Caught On Camera – a Met publication featuring images of unidentified suspects that is released on the intranet and displayed around police buildings. Snook would regularly recognise people on the list. “One day one of my colleagues said, ‘Mate, you’re really good at this – I am going to flag you up to the Met.’” Snook met Smith, who told her he was setting up a special unit of police officers with extraordinary powers of face recognition. Did she want to join? The Super-recogniser Unit is based on the third floor of a grey stone police building in Lambeth in south London. It is the only unit of its kind in the world. It was set up in May 2015, and moved from Scotland Yard in July; the charts showing the criminals they have identified and cases they are currently working on are still to be unpacked. The team consists of six officers – five men and one woman. Snook is usually at her desk by eight in the morning. “We are all quite driven,” she says. “We would much rather sit there and try to find these people than go home – we’re a bit sad really.” Alongside the super-recognisers working full-time in the unit, there are around 150 working in police departments across London. (Smith wanted Collins to join the unit, but his borough refused to release him: he was too valuable.) Since it was established, the unit has made 2,250 identifications. “We account for just under a quarter of all identifications within the Met,” says Eliot Porritt, the 36-year-old former beat cop who heads the unit, “which is crazy because there are just six of us – and 32,000 officers.” This success has drawn police forces from around the world to London. After hundreds of women were sexually assaulted in a mass attack in Cologne on New Year’s Eve, the German police invited the London super-recognisers to assist them. Porritt and Andy Eyles, who joined the Met 10 years ago and has been with the unit since last winter, spent two weeks in Cologne. They studied the video footage and gave advice on how the authorities could use CCTV more effectively. “They had previously been using the CCTV to find the suspects,” says Eyles, “but our suggestion was to follow the victims – then you would see the suspects coming up to them.” They also identified and mentored three German officers who potentially had enhanced identification skills. Ten super-recognisers were deployed in the inquiry into the murder of Alice Gross. The 14-year-old went missing as she walked along a canal towpath in August 2014. The 600 police officers who joined the search for her made the Met operation the biggest since the 7/7 bombings. One of the team from Neville and Smith’s unit examined the grainy footage of Gross as she walked along a canal. He noticed a man on a bicycle following the same route 12 minutes later. They tracked the man via CCTV as he disappeared into an off-licence and cycled to the river Brent. The next time he was spotted on camera was later in the evening, dressed in different clothes. This prompted a fresh search of where the man had been seen and that eventually led to the discovery of Alice Gross’s body. The man was later identified as Arnis Zalkalns, but by the time police found him he had hanged himself. One of the key tactics for the team is linking offences together, which they call “snapping”. “We will go into the database and put in a description of, say, a white male with a bald head and glasses,” says unit coordinator Smith, “and then the super-recognisers will go through the images and when they think they have seen the same person they will start linking them together.” The more crimes that can be connected, the longer the potential sentence. For example, Austin Caballero had 40 convictions for shoplifting, totalling more than £100,000 of luxury goods, and also one count of racially aggravated assault. He was sentenced in April to three and a half years for the thefts and an additional three months for the assault. Michael Prabucki was sentenced in August to four years’ imprisonment for 39 convictions for shoplifting. And Neville Stanbury was sentenced in October to four and a half years for 40 offences after the super-recognisers made 31 identifications. Each unsolved crime was a failed case that had been shut down until the unit linked them to the same person. The team also attend major concerts to ensure known thieves do not gain entry. “They have images [of suspects] stored in their brain,” says Smith, “and they go to the concert and stop them from getting in. Arctic Monkeys got hit for 140 phones on one night; in London we did two nights, and during those two nights five phones were stolen.” Pete Williams, a greying, quietly spoken 40-year-old member of the unit, was instructed to attend a Libertines gig. “There was a small, organised gang who had been following the band around Europe and stealing phones,” he says. “We had been given images of those people and were at the front of the security, stopping several people. Crime was pretty much nil that night.” Andy Eyles was a police officer working in south London, interviewing people in custody, when he was called to join the unit. He is 36, and shaven-headed with a five o’clock shadow. Before he joined the Met, he used to run pubs, clubs and restaurants. “I would remember that someone came into the pub three months ago,” he says. “My wife would say I had a really good memory, but I just thought hers was rubbish.” He says he enjoys staring at a screen for 10 hours a day. “We get obsessed with our jobs. I am quite happy going through 20,000 images looking for a distinctive earlobe.” The ability to never forget a face may be immensely helpful in fighting crime, but it means super-recognisers are never off-duty. “I will be walking with my wife and kids and be saying, ‘He’s a druggie, he’s a shoplifter,’” he says. “And my wife will say, ‘We were having a nice day out and now we are surrounded by criminals.’” Recently, Snook was in King’s Cross station with her children when a man walked past. “He looked a bit iffy, so I said to my children to stay close to me,” she says. One week later she received an alert about a high-risk missing person. She knew from the picture it was the man she had seen. She called the Missing Persons Unit and told them she had seen him the previous week. “The woman on the phone was a bit blase and I am not sure she believed me,” says Snook, “and then I told her I worked at the Super-recogniser Unit.” Within an hour British Transport police had located the man. “I am always jumping off buses and trains because I have seen someone,” Collins says. “I was coming back from court and I saw someone who was wanted for seven offences. Once I had to stop the car three times – I would take one person in and then on the way to the station I saw someone else who was wanted, so I picked them up, and then as we were driving I saw someone else.” This degree of commitment can be mentally draining. “I have found that since doing this my short-term memory is just diabolical,” says Snook. “I guess all my brainpower goes into remembering faces. I was taking the tea and coffee orders recently and by the time I got to the kettle I had forgotten them.” Is there anything different about the brain of a super-recogniser? One autumn afternoon, James Rabbett, 35, travelled from Scotland Yard’s offices to the University of Greenwich to find out. Rabbett joined the Super-recogniser Unit after winning awards for being the highest arresting officer in the country, making 200 arrests in just one year. Rabbett was met at the university by Dr Josh Davis, who has been researching super-recognisers since 2008. Davis and his assistant led Rabbett into a ground-floor room where they pulled a pale blue rubber hat that looked like a swimming cap over his head. The cap had sensors attached that measured electrical activity from different parts of Rabbett’s brain. He was then shown two series of 20 images and asked if any of the original images were repeated. This was done with seven batches of images. Rabbett then went into another room and sat behind a computer screen. He was shown photographs of eight people with one page per person. On each page the people were shown from various angles and distances, wearing different clothes. The research assistant explained that Rabbett would be shown a series of video clips and should look out for the people on the pages. They might appear once, twice or not at all, and he had to say how sure he was. The video was 18 minutes long. The first scene was people walking along a riverbank towards and away from the camera. Rabbett studied the photographs on the sheets of paper, one by one. He watched attentively and then stopped the video. “I would say this is my first sighting,” he said, “this girl here. I am saying it is her based on her hair, she has quite a long face and a big nose. If you look at the line of her eyebrows, I think her left eye is slightly lower than her right, so for me that is my first call.” The second clip was from a shopping street. He eventually stopped the film and held up a photograph of a woman against the screen. “The jaw line is very strong, a high hairline combed the opposite way to the photograph, but you can see it is quite high. The eyes are quite close together.” Davis describes what was going on inside Rabbett’s brain: “We are finding differences in brain patterns. It is about the speed of responses.” The brains of super-recognisers appear to process certain information faster than the rest of us. Davis also says that there is some suggestion that “one part of the brain, known as the fusiform gyrus, which seems to be specialised for the processing of faces and to some extent other images – that bit tends to light up for faces more than other objects.” The term “super-recogniser” was first used in a study published in 2009 in Psychonomic Bulletin &amp;amp; Review. The authors focused on four case studies who seemed exceptionally good at remembering faces. The study suggested that super-recognisers represented the extreme opposite to prosopagnosics – otherwise known as people with face blindness. The authors suggested that just as prosopagnosia affects 1-2% of the population, it was reasonable to assume that another 1-2% were super-recognisers. Those in the unit that Davis is testing are among the top 1% of that group. At present, the police get only 5% of identifications from members of the public; are there citizens out there with these talents who could help the police? “We may start using a mixture of civilians and officers,” suggests Porritt, “because there may be people out there with wild talents for this. There is no reason they could not come along and make the initial match, and then we do all the stuff that requires a warrant.” One police force has suggested testing those in Neighbourhood Watch schemes. Using more super-recognisers, claims Davis, could “reduce crime in the first place because if you think you are going to get caught on camera there is a massive incentive not to commit a crime.” Collins is not convinced. “Would it stop them committing crime?” he asks. “Possibly, or maybe they would just cover up more.” Of course, super-recognisers are not super-human: they do sometimes get it wrong. Identifications alone are rarely used as evidence; they are usually a starting point for police to find witnesses or supporting forensic evidence. “We are not infallible,” says Porritt. “But what does seem to be the case is that super-recognisers get it wrong less often.” The success of the super-recognisers relies not only on their innate abilities but also on the ubiquity of CCTV. There are thought to be around 400,000 CCTV cameras in London and more than 4m across Britain – and that doesn’t include private recordings from cameras in businesses and homes. In April, Hampshire police asked for help investigating a brutal hammer attack on a 17-year‑old girl. Snook and Williams were sent to examine CCTV footage. Mobile phone data had led them to a particular street, which then gave them an image of a suspect. What they needed to do was find him in other footage that would help identify him. “It was my first big deployment,” says Snook, “and it was for a really horrific crime by someone who was previously unknown.” Working together, and watching hours and hours of video, they were able to locate the suspect in a car park and track him to his car. This gave the police a registration plate; they managed to arrest him as he was getting into the car. The man, James Hemming, had never been arrested, but his DNA matched that found at the scene. Hemming pleaded guilty in early September to wounding with intent to cause grievous bodily harm. He will be sentenced in December. “That was really fulfilling,” says Snook. “I get such satisfaction out of identifying someone who thinks they have got away with a crime.” Porritt and Smith would like all new and existing police recruits to be tested for their facial recognition skills. “In 1902, when fingerprints were first used to solve crime, there was a lot of scepticism,” says Smith. “I believe super-recognisers are the way forward.” If about 1-2% of the population have super-recogniser ability, and there are roughly 48,000 officers and police staff in the Met, “we have 480 super-recognisers lurking around that we need to find”. Snook has some ideas about where to find the next generation of people-spotters. As a girl watching television with her family, “I would say, ‘That’s so and so, and he was in the other show,’ and they would say, ‘How do you remember that?’” she recalls, “and I would say, ‘I remember his face.’” She now has two young children aged five and six. “My daughter will point out people we have seen out shopping,” she says. “We might have seen them days earlier in another part of town. And when they are watching the TV they do exactly as I did. It freaks me out.” Snook told Davis, and she has given permission to have her children tested. She knows that one day they will be asked the same question she has been asked so often, and she knows the answer she will advise they give. “When people ask how I do it, I just say I don’t know,” she says. “My brain just does it – does yours not?” • Are you a super-recogniser? Take the University of Greenwich super-recogniser test: goo.gl/V5mMGV</x:v>
      </x:c>
      <x:c r="I12" s="12" t="str"/>
      <x:c r="J12" s="12" t="str"/>
    </x:row>
    <x:row r="13" ht="110" customHeight="1">
      <x:c r="A13" s="12" t="n">
        <x:v>10</x:v>
      </x:c>
      <x:c r="B13" s="12" t="str">
        <x:v>NEWS-guardian_api-26998343d44f</x:v>
      </x:c>
      <x:c r="C13" s="12" t="str">
        <x:v>Wages have flattened for years, the cost of living has spiralled and the richest have accelerated away. Join our debate. We want to hear your ideas for a new economy.</x:v>
      </x:c>
      <x:c r="D13" s="12" t="str">
        <x:v>https://www.theguardian.com/commentisfree/2013/feb/03/capitalism-have-your-say</x:v>
      </x:c>
      <x:c r="E13" s="12" t="str">
        <x:v>data/raw/news/text/NEWS-guardian_api-26998343d44f.txt</x:v>
      </x:c>
      <x:c r="F13" s="12" t="str">
        <x:v>data/raw/news/text/NEWS-guardian_api-26998343d44f.txt</x:v>
      </x:c>
      <x:c r="G13" s="12" t="n">
        <x:v>371</x:v>
      </x:c>
      <x:c r="H13" s="12" t="str">
        <x:v>Today, the Observer New Review publishes a vivid account of Robert Reich's new documentary Inequality for All. It argues that capitalism has fatally abandoned the middle classes while making the super-rich richer. It's already provoking widespread discussion. Here, we invite our readers to join that debate. Tell us, in the thread below, how you would change capitalism.</x:v>
      </x:c>
      <x:c r="I13" s="12" t="str"/>
      <x:c r="J13" s="12" t="str"/>
    </x:row>
    <x:row r="14" ht="110" customHeight="1">
      <x:c r="A14" s="12" t="n">
        <x:v>11</x:v>
      </x:c>
      <x:c r="B14" s="12" t="str">
        <x:v>NEWS-guardian_api-299f68788499</x:v>
      </x:c>
      <x:c r="C14" s="12" t="str">
        <x:v>Norovirus: people with winter vomiting bug urged to stay at home</x:v>
      </x:c>
      <x:c r="D14" s="12" t="str">
        <x:v>https://www.theguardian.com/society/2012/dec/19/norovirus-winter-vomiting-stay-home</x:v>
      </x:c>
      <x:c r="E14" s="12" t="str">
        <x:v>data/raw/news/text/NEWS-guardian_api-299f68788499.txt</x:v>
      </x:c>
      <x:c r="F14" s="12" t="str">
        <x:v>data/raw/news/text/NEWS-guardian_api-299f68788499.txt</x:v>
      </x:c>
      <x:c r="G14" s="12" t="n">
        <x:v>4231</x:v>
      </x:c>
      <x:c r="H14" s="12" t="str">
        <x:v>The Department of Health has warned people who may be carrying the highly infectious winter vomiting bug norovirus to stay at home and avoid contact with other people to help stop its spread, as hospitals are being forced to close wards, schools have cancelled classes and Christmas performances, and nursing homes are put on red alert. The virus – which in recent weeks has forced oil workers to evacuate from a North Sea rig off the coast of Scotland and caused misery on two cruise liners – has triggered hospitals from the Isle of Wight to Scotland to close wards, while schools across the country have shut their doors to undertake deep cleaning to try to contain the spread. In Scotland NHS Tayside closed a ward at Stracathro hospital following a suspected outbreak of the virus. In Wales people with symptoms were being advised to stay away from hospitals. At the start of the week five wards at the Queen Elizabeth the Queen Mother hospital (QEQM) in Margate were closed to new admissions, while some operations were cancelled at Jersey's General hospital. In the south of England East Surrey hospital in Redhill stopped visits to 10 of its wards on Tuesday, a decision which had not been taken lightly, Surrey and Sussex Healthcare NHS trust said. The chief medical officer, Professor Dame Sally Davies, said those concerned about the illness should call NHS Direct or their local GP. "Please avoid attending A&amp;amp;E as this could spread the illness to vulnerable people and healthcare workers," she said. "For most people norovirus is an unpleasant but short-lived illness. There is no specific treatment but patients are advised to drink plenty of fluids and stay at home." A spokesman for the Local Government Association (LGA) said councils were working closely with public health partners to inform communities of the risks around norovirus and how to cope with the illness. "Councils are working with schools and nursing homes to protect the old and young, but also providing support to local businesses where appropriate," he said. Across the country dismayed parents missed their children's school nativity plays and had to find emergency childcare after many schools forced to close early for the Christmas holidays because of outbreaks of the bug. Nearly 100 children at St Paul's CE primary school in Longton, Staffordshire went off sick with the infection last week when the nativity was due to be performed, but the school reopened after a deep clean and advice from the Health Protection Agency (HPA). In Fife, Westfield nursery, Saline nursery and Saline primary school closed because of the virus but have now reopened. Sandwell council in the Midlands confirmed that four local primary schools – Wednesbury Oak primary, Glebefields, Lyng and All Saints – were currently closed. At Wednesbury Oak the school's regular cleaners were carrying out a deep clean, while teachers had donned protective clothing and were cleaning classroom equipment, after taking advice from the local health authority. "I don't think we have it any worse here than elsewhere," said a spokesman from the council. "Everywhere you look at the moment there is somebody who knows somebody struggling with norovirus." Almost 880,000 people could have been affected with winter vomiting bug, with the number of laboratory-confirmed cases of norovirus 83% higher than the same time last year, according to HPA figures. The bug appears to have hit earlier this year. The most recent figures show 3,046 confirmed cases in England and Wales, compared with 1,669 cases last winter. But many people do not report the illness and the HPA said for every reported case there was like to be a further 288 unreported sufferers. There were 61 suspected or confirmed outbreaks of norovirus in hospitals around the country in the last two weeks, with 80% of these leading to ward closures. A spokesman from the Department of Health said the NHS was coping well with the outbreak, which it called "typical" for the time of year. "Our weekly published figures show the number of beds closed across the NHS due to norovirus symptoms is around 2%. This compares to 2.9% of beds that were closed during the peak of norovirus cases last winter," he said.</x:v>
      </x:c>
      <x:c r="I14" s="12" t="str"/>
      <x:c r="J14" s="12" t="str"/>
    </x:row>
    <x:row r="15" ht="110" customHeight="1">
      <x:c r="A15" s="12" t="n">
        <x:v>12</x:v>
      </x:c>
      <x:c r="B15" s="12" t="str">
        <x:v>NEWS-guardian_api-34e77f9bede6</x:v>
      </x:c>
      <x:c r="C15" s="12" t="str">
        <x:v>David Davies, Conservative MP: 'I may well be wrong'</x:v>
      </x:c>
      <x:c r="D15" s="12" t="str">
        <x:v>https://www.theguardian.com/politics/2012/dec/21/david-davies-gay-marriage-interview</x:v>
      </x:c>
      <x:c r="E15" s="12" t="str">
        <x:v>data/raw/news/text/NEWS-guardian_api-34e77f9bede6.txt</x:v>
      </x:c>
      <x:c r="F15" s="12" t="str">
        <x:v>data/raw/news/text/NEWS-guardian_api-34e77f9bede6.txt</x:v>
      </x:c>
      <x:c r="G15" s="12" t="n">
        <x:v>10858</x:v>
      </x:c>
      <x:c r="H15" s="12" t="str">
        <x:v>By the time David Davies and I part company, he is looking anxious. "The easiest thing for me to do would have been not to do this interview with you, that's the truth," he worries. "I haven't done years of diversity training, so sometimes I say things which are probably tactless, and I don't mean to, to be honest, I don't mean to do that. But these feelings are hard to articulate, and the trouble is that if you try to, and get it wrong, which I probably, frankly, am doing now, you're going to get no end of abuse for it, and upset a whole load of people, some of whom I actually quite like. This law is going to happen, and the best thing to do is just shut up and accept it, really, which is probably why I shouldn't have accepted this interview. Too late now." It's two weeks since the Tory MP told Radio Wales that gay marriage was "barking mad", and that "most parents would prefer their children not to be gay". He seems a bit shell-shocked by the subsequent uproar, so his decision to give his only follow-up interview to us, "the enemy", is impressively brave. At times there is a hint of hung-for-a-sheep recklessness about him, at others a bewildered but cheery hilarity ("My favourite tweet was: 'If you were gay you'd have a nice suit that fitted and wear product in your hair.' Do you think I should retweet it?"), and most of the time it's as if he's not giving an interview so much as thinking aloud. There's no spin, let alone a line, and the sincerity of his soul-searching is really charming, even if he is all over the place. Davies's confusion about homosexuality isn't all that unusual, and you will have come across it before – just probably not in anyone running the country. He is without a doubt the most guileless and gauche politician I have ever met. His big worry about gay marriage, he explains, is that it will necessitate a revision of sex education. "This is where it gets sensitive, but I've got three kids, and I know a lot of people with children have got this concern. I hate to say this, I hate to say this, and I don't want it to cause outrage or offence … " He looks down and shifts awkwardly. "But I suppose, at a certain level, I see heterosexual sex as being – and it's probably the wrong word to use – but the norm. I think it's reasonable to say that the vast majority of people are not gay." He hesitates, sighing. "I just worry if children are going to be taught that [heterosexuality] isn't necessarily the norm, and that you can carry on doing all sorts of other things, are we going to have a situation where the teacher's saying, 'Right, this is straight sex, this is gay sex, feel free to choose, it's perfectly normal to want to do both. And you know, why not try both out?' I mean, are we going to have that? "Can I say something else as well?" he adds. "It may or may not be relevant." When Davies was 16, a popular school friend had announced he was gay. Davies ran into him again at 19, "And it turned out the guy had got engaged. To a woman! And he absolutely didn't want to talk about what had gone on between the age of 16 and 19. He'd started coming down to the pub at 16 with, you know, splits in his jeans, and started buying Erasure albums, and all the rest of it – and three years later he's suddenly horrified by the whole thing! "I suppose what I'm trying to say, in a very clumsy way, which will again probably cause offence, is that some people might be going through a bit of a funny phase between the age of 15 and 20 when they're not sure. And I'm not absolutely convinced it's a good idea to be changing sex education in school to try and say to people, 'Feel free to go out and experiment and do this, that and the other.'" Had Davies's teacher told him that when he was 10, would he have been tempted to try being gay? He practically jumps out of his seat, exploding in incredulous giggles. "I reckon in my case, almost certainly not." So what exactly is his worry? "You see, it's not so much telling them it happens. It's explaining in a certain amount of detail how it happens." I must confess to having never obsessed about the details of sex education. What does he mean? "If you're going to explain the facts of life you've got to explain at some point, penis, vagina, they go together, this is how children are made. Well, do you also have to start explaining in similar detail how gay sex is carried out?" I'm far from sure you do, actually, but more to the point, no amount of familiarity with homosexual mechanics would have turned my 10-year-old self into a lesbian. "But you're a lady, you're a woman, so you wouldn't have felt quite the same way. I mean, at school the girls all went out and bought Erasure without any issue." He's being perfectly serious. But what about the lesbians in my class – what would have helped them? "Oh, I don't know what they went out and bought." No, I mean what about them feeling confused and excluded? "I wish there was some way round this that meant they didn't feel excluded, I really do." Let's say he's absolutely right. Gay marriage will mean more gay sex education, which will make more of us gay. Can he explain what would be so bad about that? "No, I don't think I can, to be honest. I don't think I can explain it. I can see immediately, if I did, that it would cause offence to some people – and that's wrong, isn't it? But I'm not even sure that I can answer your question very well, anyway. I can only say I have a slight sense of unease." One thing he does want to make very clear is that when he said most parents would rather their children were not gay, he did not mean they would reject a gay child. "If one of my children were gay I don't think it would make any difference to the way I felt about them at all. I would want them to be happy and contented." Surely, then, he would want a society which made that possible? "I think you're probably right." Suddenly he looks a bit lost. "And it's something I've got to search for myself. It's just very difficult for me to answer your questions." When I ask why he hopes none of his children will be gay, he admits again, "I don't know why. I find it hard to explain, frankly. But I'm uncomfortable with it. I suppose it's a grandchildren issue, perhaps?" he offers doubtfully. "Isn't it a natural instinct? Maybe that's the problem – it's hard to rationalise an instinct with politics in a logical way, which you're trying to do. But I've got this sense of unease. I think it's widely shared – I know it's widely shared; you should see the emails I get. I think a lot of people have this slight sense of unease, which isn't very well articulated. And I'm afraid I haven't articulated it very well." Sometimes, I tell him, when I find an argument really hard to articulate, that's because it's wrong. "You may be right. I may very well be wrong about this. But I'm not sure I'm wrong. It may just be that I'm a victim of the era I was brought up in." Born in 1970, Davies grew up in Newport, joining the Territorial Army in his teens. After comprehensive school he went travelling in Australia, before returning to work as a lorry driver for his family's haulage company. Having campaigned against devolution in Wales, in 1999 he was elected to the Welsh Assembly on a platform of opposition to any further devolution, and won Monmouth for the Conservatives in 2005. He is a special constable, and an amateur boxer. "I make no bones about it, I'm a product of my upbringing and of the time I was brought up, so I'm not going to pretend not to be. It's not like I was brought up in San Francisco or somewhere like that. "But I'm changing. This is going to sound quite appalling, but nobody in my circle of friends in 1986 would have admitted liking Erasure, or would have been seen dead going out and buying a Boy George CD. Now I've got Boy George's greatest hits, and I love it!" When civil partnerships were first introduced, "I probably wouldn't have been a huge fan, let me be honest," but now he's changed his mind. Section 28? "Mmm, I probably would have worried about repealing that." Reducing the homosexual age of consent? "I'd have probably been against it, in truth." But he wouldn't dream of reversing these policies now, "So yes, I take your point, I am changing." Given time, could gay marriage be another one? "It might well be, it might well be, and I'm perfectly happy to accept that you may be right." All of a sudden, he seems to panic. "So far all we've talked about is gay marriage. And I want to tell you I'm not obsessed with the issue. I don't spend every waking moment of the day speaking about gay marriage, at all." That is unquestionably true. In fact, I'd guess he's given less thought to it than not just most MPs but most people in the country. After all, there can't be many left who would share Davies's mystification at something a closeted gay colleague said to him years ago. "We were at party conference and he was saying to me – and this is a direct quote – 'Look at all these poofters! Bloody poofters, eh?' He was quite senior in the party, and I knew he was gay, but I don't think he knew I knew. And I thought, why are you saying this? Why are you pretending to mind all about all these 'poofters'? Why?" In a way it's quite comical that Davies should end up at the forefront of a debate about something he cheerfully admits to not really understanding at all. He's much more concerned about "issues affecting lower-middle-class, working-class people", and lists deficit reduction ("if anything I might go faster"), law and order ("I do think prison can work"), immigration, multiculturalism and Europe ("I'd want a referendum, and I'd probably vote out"). It sounds a lot like what Ukip stands for. "Well, maybe what Ukip's saying represents what a lot of Conservatives stand for – that's a different way of looking at it." He says he would never defect, but his own mother – a working-class miner's daughter, and lifelong party activist – already has. "And it's a real worry. The Tory party's core supporters are peeling off to support Ukip." Davies wishes our mainstream parties could debate what the Americans call culture wars, "without everyone jumping up and down in a rage". Why, only the other day he was having a conversation with someone at the Equalities and Human Rights Commission, and wished it could have been in private. "Because he was telling me what it was like to be a young black man searched by a police officer. And I could have told him," he exclaims delightedly, "what it's like to be a police officer, trying to search someone who didn't want to be searched!" For a moment I think he's joking, but Davies really does see these two experiences as analogous. Registering my amazement, his face falls. "What? Oh no. Have I said something wrong again? Have I said something really bad? What did I say?"</x:v>
      </x:c>
      <x:c r="I15" s="12" t="str"/>
      <x:c r="J15" s="12" t="str"/>
    </x:row>
    <x:row r="16" ht="110" customHeight="1">
      <x:c r="A16" s="12" t="n">
        <x:v>13</x:v>
      </x:c>
      <x:c r="B16" s="12" t="str">
        <x:v>NEWS-guardian_api-3a9be3f68624</x:v>
      </x:c>
      <x:c r="C16" s="12" t="str">
        <x:v>‘I can’t sell mum’s retirement flat – and the charges are mounting up’</x:v>
      </x:c>
      <x:c r="D16" s="12" t="str">
        <x:v>https://www.theguardian.com/money/2021/mar/28/i-cant-sell-mums-retirement-flat-and-the-charges-are-mounting-up</x:v>
      </x:c>
      <x:c r="E16" s="12" t="str">
        <x:v>data/raw/news/text/NEWS-guardian_api-3a9be3f68624.txt</x:v>
      </x:c>
      <x:c r="F16" s="12" t="str">
        <x:v>data/raw/news/text/NEWS-guardian_api-3a9be3f68624.txt</x:v>
      </x:c>
      <x:c r="G16" s="12" t="n">
        <x:v>6399</x:v>
      </x:c>
      <x:c r="H16" s="12" t="str">
        <x:v>Last April was a devastating time for Averil Smith. Within a matter of days she lost her mother and brother to Covid, and was left with the job of executing her mother’s estate. Almost a year later, the 68-year-old is struggling to sell her mother’s retirement flat, despite dropping the price by £25,000 to below a valuation made in 2013, and has been sent bills for service charges she says she cannot afford to pay until it is sold. So far, she has been billed for £1,800 but after being charged legal fees for missed payments, she was told that the sum owed had grown to more than £2,200. She told us she was frightened that the lease will be forfeited and that her attempts to offer guarantees, and a £10-a-month payment plan, had been refused. Days after we contacted the management company, it dropped the extra fees and offered Smith longer to sell the property, but she remains worried about what will happen if it is not sold soon. She is far from alone in finding herself landed with the problem of trying to sell a retirement flat that won’t shift while bills continue to mount. In Smith’s case, the company that manages the property, FirstPort, refused her request to clear the bills when she sells, and asked for the money upfront. Letters from its lawyers suggested she add the costs to an equity release loan her mother had, or auction off the flat. Smith’s mother was one of the first residents of the Blythe Court retirement development in Solihull and had lived in her one-bedroom flat for 33 years. When she died, service charges and ground rents were up to date, and she had recently overseen the property’s refurbishment. With the housing market shut down for several months at the start of the pandemic, Smith wasn’t able to put the property on the market immediately. It went up for sale on 26 June, and since then there has not been a single viewing, despite the price having been cut. “The apartment is stunning – she had exquisite taste – and it is in a great location next to an upmarket row of shops,” Smith says. “According to the estate agents, retirement apartments are not selling due to the pandemic, making them unattractive places to live for fear of catching the virus. “Also, the people that want to normally buy them are reluctant to move house and, of course, there have been travel restrictions, which have made it difficult for relatives of prospective buyers to travel to view.” Smith’s agents are not the only ones to make this point. In November, McCarthy &amp;amp; Stone, the retirement-home builder, reported that the coronavirus pandemic had led to a sharp fall in the number of properties it had sold to retirees, and that it would make a loss for the year. It told the stock market that although sales had increased after the first lockdown, “sales have remained subdued as the behaviour of our customer base, which has an average age at the time of purchase of 79, has been more cautious than the broader population due to the risks associated with Covid-19”. However, before the pandemic hit, people were reporting problems. In November 2019, the Guardian featured the case of a man who had been trying for four years to find a buyer for the one-bed McCarthy &amp;amp; Stone retirement flat in Kent that his late father originally bought for £161,950. He said then that he was considering selling the property to a “buy-it-now” company for only £28,000. In April 2018, a woman told the newspaper how she was struggling to sell the retirement flat her late parents had bought in 1997 and that she had been forced to cut the price from £185,000 to £140,000, well below the £260,000 average for a normal flat in the same Surrey village. In both cases, the four-figure annual service charge on the property was highlighted as a potential problem. Smith, who has been furloughed and is concerned about the future of her job, says she cannot afford to pay the service charges that have landed on her doorstep. She still has her mother’s funeral to pay for and a £407 council tax bill for the flat. “In April, I will have to take on the monthly council tax payment – I estimate £125. I have no idea how I will do this – I can only hope the apartment sells soon, so I can escape this,” she says. “FirstPort is making no allowances for the current economic climate, the world pandemic, people being furloughed from work – and, as in so many cases such as myself, redundancy may loom. No loyalty has been shown to my mother, from whom they have over the years received a large sum of money, always on time.” Letters from FirstPort’s solicitors said it would go to court if the service charges were not paid, and suggested that Smith turn to the equity release lender or sell the property at an auction. She says two auction houses have told her that they are not taking on retirement properties. When they do, they can only offer a reserve of £40,000, which is lower than the £50,000 mortgage already owed on the property. Adding to the loan would mean accruing interest on the charges. Days after the Observer got in touch, Smith received a letter from the lawyers saying that the additional fees would be waived and that she had until mid-June to sell and pay the charges. But she is still worried about that deadline, and fears she will not be able to raise the money in time. FirstPort says that service charges are kept in separate accounts for each development and used for maintenance, insurance and any staff who work there, and missed payments can cause shortfalls. It said: “We are extremely sympathetic to Ms Smith’s situation and we have been doing all we can to support her with the sale of her mother’s flat. “When a resident passes away, we, of course, put charges on hold until probate is granted. However, they can’t be paused indefinitely because any shortfall in service charges affects all the other retired people who live at the development. “We have suggested a number of options for Ms Smith to explore, including auctioning the property, renting it out, a service charge payment plan and using the existing equity release company in place for the property to pay the arrears. “So far, these options have not been pursued. We have put the account on hold for three months and we have offered to waive all fees and charges that have been incurred so far on the basis that Ms Smith actively reviews the options we have presented to her again.”</x:v>
      </x:c>
      <x:c r="I16" s="12" t="str"/>
      <x:c r="J16" s="12" t="str"/>
    </x:row>
    <x:row r="17" ht="110" customHeight="1">
      <x:c r="A17" s="12" t="n">
        <x:v>14</x:v>
      </x:c>
      <x:c r="B17" s="12" t="str">
        <x:v>NEWS-guardian_api-4b66c98ae734</x:v>
      </x:c>
      <x:c r="C17" s="12" t="str">
        <x:v>‘We’ve seen it decimate areas’: Somerset town’s traders oppose parking charges</x:v>
      </x:c>
      <x:c r="D17" s="12" t="str">
        <x:v>https://www.theguardian.com/business/2025/dec/23/clevedon-somerset-traders-councillors-oppose-street-parking-charges</x:v>
      </x:c>
      <x:c r="E17" s="12" t="str">
        <x:v>data/raw/news/text/NEWS-guardian_api-4b66c98ae734.txt</x:v>
      </x:c>
      <x:c r="F17" s="12" t="str">
        <x:v>data/raw/news/text/NEWS-guardian_api-4b66c98ae734.txt</x:v>
      </x:c>
      <x:c r="G17" s="12" t="n">
        <x:v>6757</x:v>
      </x:c>
      <x:c r="H17" s="12" t="str">
        <x:v>The shop windows are decked out in their festive finery, there are carols on the stereos and the tills are ringing. The independent stores, cafes and restaurants lining Hill Road in the Somerset seaside town of Clevedon are hoping to take advantage of the crucial pre-Christmas period. The street’s colourful shops, along with the town’s Victorian pier, are among Clevedon’s best-known landmarks, making Hill Road popular with locals and visitors. It even stood in for the high street in the ITV drama Broadchurch. However, Hill Road’s traders are looking ahead to the new year with concern after proposals by North Somerset council to introduce car parking charges on local streets. They fear customers will be deterred if they have to pay to park, which could reduce footfall, hit trade and even threaten their livelihoods. “We’re greater than the sum of our parts. People come here as a destination. It’s the eclectic mix of independents, it’s the community,” says Sandy Prater, the owner of Fizz gallery, which has recently celebrated its 20th anniversary on Hill Road. Surrounded by paintings of Bristol’s famous Clifton suspension bridge and displays of ornaments, Prater says the council’s introduction of parking charges in neighbouring Nailsea in the summer has already had a worrying impact on local businesses. Amid a backdrop of rising costs, consumers reining in their spending and an uncertain economic environment, the traders fear parking fees could be the final straw for some. They are calling on the local authority to reconsider and recently handed in a petition against the proposed charges signed by more than 3,300 people. Prater adds: “Research shows that when people have to pay, they don’t come as often. We’ve seen it decimate towns and small areas of independents up and down the country.” Indeed, it is a scene being played out across Britain: North Somerset is just one of the country’s cash-strapped councils that has looked to introduce or increase parking charges in a bid to boost its income. It’s a trend that has been greeted with dismay by traders from St Albans to Surrey and Shropshire. Clevedon shoppers can currently park for free on Hill Road and other surrounding streets for two hours. The parking restrictions apply between 8am and 6pm from Monday to Saturday. The council is proposing giving drivers 30 minutes of free parking, before charging £1.50 for a one-hour stay, £2.50 for two hours and £3 for the maximum three-hour stay. The charges would be in operation from 9am to 6pm, Monday to Saturday. Prater fears even nominal fees could deter visitors: “Those popping in on the way home or on the way through just to grab a pint of milk, a birthday card, you would be amazed at how many times that turns into the sale of something quite significant,” she explains. “Those people are not going to add parking charges to that £2.50 card or £1.50 bottle of milk.” The sloping terrain around Hill Road – the clue is in the name – means there isn’t space for a car park, requiring visitors to park on the street. On the day the Guardian visited, almost all the spaces were taken, which the traders insist highlights the street’s popularity. The current parking rules suit the brides-to-be who visit Devvon Wilsher-Day’s shop So Gorgeous Bridal to try on wedding dresses. “Customers come for two-hour appointments, so it works fantastically for us at the moment, because of the two hours free parking,” she says, sitting next to racks of lace and satin creations. Wilsher-Day acknowledges her customers might be willing to pay for parking, but calls the council’s plans “shortsighted”. “If people are coming to Clevedon and spending money in the shops here and local residents run the shops and spend money back in the economy, it’s a wonderful thing,” she says. Wilsher-Day and her mother moved their shop to Clevedon just 18 months ago after years based in a suburb of nearby Weston-super-Mare, where they believe the introduction of parking charges contributed to the decline of the local high street. North Somerset first set out its parking proposals in 2024, saying it would apply a consistent approach to on-street parking, council-owned car parks and other land it owns. It said one of its goals was to create “well-managed and well-maintained parking facilities” that “support local economies” while responding to the challenges of the climate crisis and fostering healthy communities. It also announced its ambitions for “parking that is self-funding where possible or which creates surplus for the council” to be invested back into parking and transport. Local authorities introducing parking charges often refer to earlier research suggesting that having to pay to park does not have a negative effect on town centre footfall, while “free” parking is typically covered by taxpayers when the local authority has to pay for the upkeep of spaces and enforcement of the regulations. However, the Hill Road traders are not persuaded by this, says David Sims, who owns the independent bookshop Books on the Hill. “If you look at the places where they’ve done those studies, they’re not here. They haven’t got characteristics like this.” Sims and others worry customers will drive instead to the large Cribbs Causeway out-of-town shopping centre and retail park about 15 miles up the road, where parking is free, or shop online. The council, run by a coalition of Liberal Democrats and independents, has not yet approved the parking charge proposals, nor set a date for their introduction. However, it may face a legal challenge from among its own ranks, according to the Conservative councillor Chris Blades, who sits on North Somerset council and also chairs Clevedon town council. “Along with the business improvement district we have got solicitors involved,” he says. “The town council is vehemently opposed.” Some locals say North Somerset council has form. It spent about £1.5m to install – and subsequently remove – controversial “wiggly” road markings in Clevedon, which was labelled a “bizarre road scheme” by the RAC motoring organisation. However, not everyone is opposed to the council’s plans. One resident, Paul Hitchcock, says: “As long as it’s brought in carefully, I think it’s inevitable. Part of me thinks it would stop the parking spaces from being blocked all day.” A spokesperson for North Somerset council said the introduction of parking charges had been “subject to extensive engagement with the public” and it had considered “all views given”, resulting in a lower tariff being proposed for Hill Road than elsewhere. They added: “In Nailsea, we have sold over 36,000 tickets since introducing charges and ticket data shows a month-on-month increase in car park use during that time.”</x:v>
      </x:c>
      <x:c r="I17" s="12" t="str"/>
      <x:c r="J17" s="12" t="str"/>
    </x:row>
    <x:row r="18" ht="110" customHeight="1">
      <x:c r="A18" s="12" t="n">
        <x:v>15</x:v>
      </x:c>
      <x:c r="B18" s="12" t="str">
        <x:v>NEWS-guardian_api-4f0bd20943f7</x:v>
      </x:c>
      <x:c r="C18" s="12" t="str">
        <x:v>From Trump to Brexit, power has leaked from cities to the countryside | Andy Beckett</x:v>
      </x:c>
      <x:c r="D18" s="12" t="str">
        <x:v>https://www.theguardian.com/commentisfree/2016/dec/12/trump-brexit-cities-countryside-rural-voters</x:v>
      </x:c>
      <x:c r="E18" s="12" t="str">
        <x:v>data/raw/news/text/NEWS-guardian_api-4f0bd20943f7.txt</x:v>
      </x:c>
      <x:c r="F18" s="12" t="str">
        <x:v>data/raw/news/text/NEWS-guardian_api-4f0bd20943f7.txt</x:v>
      </x:c>
      <x:c r="G18" s="12" t="n">
        <x:v>6629</x:v>
      </x:c>
      <x:c r="H18" s="12" t="str">
        <x:v>As the most successful British and American cities have gentrified and repopulated in recent decades, reversing the inner-city decline of the 60s and 70s, it’s become a cliche to say how powerful they are: economically, culturally, politically. Many people think they’re too powerful. A revolt against urban liberalism and multiculturalism, and their supposed imposition on the rest of the population, was a big element of the Brexit and Donald Trump campaigns. Almost two-thirds of US rural and small-town voters chose Trump, while a similar proportion in the cities chose Hillary Clinton. In the English countryside, 55% voted for Brexit, while cities as varied as Bristol, Glasgow, Cardiff, Liverpool and London voted even more decisively for remain. The stark and growing political division of the US and the UK by population density has been one of the most striking, if under-reported, revelations of the great 2016 electoral reckoning. Yet the US election and the EU referendum have also shown that even the most confident, expansive cities are politically quite weak. Not simply because their preferred causes lost narrowly in both cases; but because patterns of urban life and both countries’ electoral systems are increasingly out of sync. According to the Office for National Statistics, there are currently more than a million non-British EU citizens living in London – almost an eighth of the city’s population. Much of the sense of present-day London as a teeming and important global city has come from this influx. Yet these converts to the capital, and other foreign residents from outside Ireland and the Commonwealth cannot vote in British general elections, only in local ones (assuming they have bothered to register during a stay that may be brief). Their presence may have a huge economic and social impact, but it has little political weight. In the US, the revival of many cities has also left them under-represented. Between 1950 and 2015, the proportion of urban Americans rose from 64% to 82%. But the ancient, creaky workings of the electoral college mean that the recent population booms in downtown Los Angeles and Brooklyn, for example, have simply concentrated liberal voters even further in urbanised states that were already easy Democratic wins. Clinton’s futile popular vote victory suggests that hipsters are not a decisive electoral demographic, or at least not yet. The very thing that makes modern cities vibrant and culturally dominant – increasing population density, and the atmosphere and networks that result from it – has left them politically under-represented. Meanwhile, the scattered and thinned-out populations of many struggling rural and small town areas distribute their voters through the British and American electoral systems much more efficiently. A large and growing proportion of city Britons are not registered to vote at all. David Cameron’s government was as good at bending the pliable British political system in his party’s favour as it was bad at attracting urban support. Starting in 2014, it rushed the introduction of individual electoral registration, requiring voters to register themselves rather than letting others do so on their behalf. In a 2015 report, 10 Million Missing Voters!, the Smith Institute found that “inner-city areas, especially those with young and/or student populations and high levels of privately rented property” were “most at risk” of shrinking electoral registers. Exactly that has happened. This June, in the left-leaning London borough where I live, the Hackney Citizen newspaper reported that in some local wards the proportion of eligible residents registered to vote was less than 70%, a fifth below the already unimpressive national average. A fortnight later, for the EU referendum, the Hackney turnout was only 65% – again, well below the national average of 72%. Put another way, less than half of eligible local residents had voted. People living in cities are often transient, overcommitted, easily distracted. On the day of the referendum, psephologists expected a great urban voting surge for remain, especially in the evening, when liberal professionals got back from work. It never quite came. In the pro-remain strongholds Manchester and Glasgow, the turnout was even worse, at under 60%. In the UK and the US now – and possibly France too, given the likelihood of an anti-metropolitan bidding war between François Fillon and Marine Le Pen – politics is dominated by voters who are less busy: country pensioners, unemployed or underemployed workers in ex-industrial areas. Instead of a city-style politics based on novelty and compromise – the approach of the Obama and Blair eras – Britain and American now have a politics that feels provincial, old-fashioned, almost millenarian, full of suspicion of outsiders and yearnings that somehow Brexit or a strongman president will make everything all right. In the UK, the boundary changes to parliamentary constituencies will almost certainly marginalise cities further, as they will be based on the new electoral registration system. London, despite being in the middle of a population boom – much of it British – is expected to lose five of its 73 seats. The Conservatives insist that the rationale is to “reduce the cost of politics”, but it looks more like gerrymandering. Barely a third of London MPs are Tories. What can liberal city-dwellers do about this? They can bother to vote. They can elect city leaders who make cosmopolitan urban values – what new Ukip leader Paul Nuttall cannily caricatures as “dinner party” thinking – appealing to rather than alienating voters elsewhere. Or they can wait for further urban population growth and the perpetual migration of city people and ideas to other places to shift the political balance. Politics is never just about elections; it’s also about prevailing values and lifestyles, and who holds economic power. However triumphant and impregnable Trump, the Brexiteers and their anti-urban supporters seem now (and will their supremacy last once the consequences of their airy promises start materialising?), it is hard to imagine the big cities losing their enormous economic and cultural clout any time soon. The internet, for one thing, makes it impossible to keep urban ideas and behaviours corralled inside city walls. In a democracy, electoral politics tends to adjust to social trends in the end. But the process can take a while. City liberals should hunker down: the city-haters rule for now. • This article was amended on 14 December 2016 to clarify who is entitled to vote in British general elections.</x:v>
      </x:c>
      <x:c r="I18" s="12" t="str"/>
      <x:c r="J18" s="12" t="str"/>
    </x:row>
    <x:row r="19" ht="110" customHeight="1">
      <x:c r="A19" s="12" t="n">
        <x:v>16</x:v>
      </x:c>
      <x:c r="B19" s="12" t="str">
        <x:v>NEWS-guardian_api-4fc41ad01b24</x:v>
      </x:c>
      <x:c r="C19" s="12" t="str">
        <x:v>Global awareness in schools: opportunities, challenges and ideas - live chat</x:v>
      </x:c>
      <x:c r="D19" s="12" t="str">
        <x:v>https://www.theguardian.com/teacher-network/2012/nov/03/global-awareness-teaching-learning-schools-live-chat</x:v>
      </x:c>
      <x:c r="E19" s="12" t="str">
        <x:v>data/raw/news/text/NEWS-guardian_api-4fc41ad01b24.txt</x:v>
      </x:c>
      <x:c r="F19" s="12" t="str">
        <x:v>data/raw/news/text/NEWS-guardian_api-4fc41ad01b24.txt</x:v>
      </x:c>
      <x:c r="G19" s="12" t="n">
        <x:v>8009</x:v>
      </x:c>
      <x:c r="H19" s="12" t="str">
        <x:v>In an increasingly interconnected world, educators, employers and communities all want to see students developing as global citizens; young people that are internationally-aware, tolerant, and able to communicate with people from range of cultures, backgrounds and traditions. In the article, Why global awareness matters to schools, due to be published on the Guardian Teacher Network on Monday, Jeremy Sutcliffe profiles a report called The Global Skills Gap: preparing young people for the global economy, which reveals that employers rate knowledge and awareness of the wider world as more important than a candidate's degree classification or A-level results. The report also finds that businesses believe schools should be doing more to help young people think more globally. Yet, there is already plenty of brilliant work going on in schools to bridge this gap. And it has been going on for some time. This work looks set to continue, with schools seeing their international collaboration work praised by Ofsted and the roll out of Department for International Development's Global Learning Programme - a project hoping to formalise and consolidate global learning in schools, particularly around issues such as international development, global poverty, social justice, citizenship and sustainable development. But it's not just about inspections or feeding industry, for teachers global learning is about education beyond the text book, beyond classroom walls, and helping students see beyond the places they currently call home. Jose Picardo, borrowing the words of Marcel Proust, summed up the benefits of global learning in his blog post: Why students need a global awareness and understanding of other cultures. He writes: "Marcel Proust, the French novelist, observed that "the real voyage of discovery consists not in seeing new lands but in seeing with new eyes". He realised that by working with other people we learn about their cultures and become able to explore new ideas and prospects. Options that would not have occurred to us before stand out as obvious if we understand how other people experience the world. This is why, I believe, it is so important for students to have a deeper global awareness and understanding of other cultures." In addition, citizenship teacher Billie Crombie argues a global education helps students to really understand the world and society they live in. In an interview with GTN, she said: "If students are going to develop as global citizens they have to be able to question global issues. They have to find out about power balances and be actively involved in asking questions. It's so important not to just be taught about tragedies overseas and then to disconnect from that as it seems nothing to do with your life. I don't like citizenship to be purely about fundraising, I find that a very submissive way of dealing with an issue. When you humanise the stories then you start to make inroads." There are many issues to explore. So, on Thursday 8 November, 4pm to 6pm, join us for a live chat to debate all areas of teaching and learning in the global classroom. We'll be exploring opportunities, challenges and ideas around developing global awareness in schools. The discussion is now open for your questions and comments - and we'd love to hear about your work in this area. You can also email questions, ideas and comments to kerry.eustice@theguardian.com. Our panel: Debbie Godfrey-Phaure, executive head teacher, Avonbourne International Business and Enterprise Academy Trust Debbie leads two colleges; Avonbourne and Harewood and a sixth form. Debbie has spent most of her career in education and believes that it is pivotal in promoting social and economic justice. Steven Mark, director of the International Primary Curriculum Steven's educational career includes many years as a teacher and school leader in Scotland, the Netherlands and Germany. Steven taught with the International Primary Curriculum when he was a teacher at HSV School in the Hague from 2001 until 2004. He is currently working on a book about how we can best help children and adults to develop international mindedness. Liz Neil is account co-ordinator, programmes and projects at British Council Liz has many years experience working on international education programmes for schools, colleges and universities, including eTwinning and Comenius. Kate Keaveny, teacher at Cossington C of E Primary School, Leicestershire Kate teaches year 1 and 2, is Senco, KS1 and foundation stage coordinator, international coordiantor and ICT coordinator. She is also an eTwinning ambassador. Liz has just returned from her first Comenius visit to the Czech Republic. José Picardo, head of modern foreign languages, Nottingham High School José is also a languages and educational technology consultant and can be found on Twitter @josepicardo. Sandra Underwood is school link coordinator at LSA Technology and Performing Arts College, Lancashire Sandra coordinates all international partnerships including Comenius and Connecting Classrooms which is a global school partnership. She is also an active eTwinner which involves online collaboration with students and teachers through the eTwinning network. Alison Leonard is a doctoral research student at the Development Education Research Centre at London's Institute of Education. Alison is a geography teacher at Westminster School, London and senior lecturer at Canterbury Christ Church University and on the Teach First Initial Teacher Education programme. Her research is focused on development education and the potential contribution of the South/North Educational Linking Process (S/NELP) in three sub-Saharan African countries. She has been involved in relationships between schools in Ghana and China with schools in the UK. John McLaverty, Oxfam's campaigns team leader and youth and schools coordinator in London and the south east John joined Oxfam in 2008 after a lengthy career as a humanities teacher and middle leader in London secondary schools. He has extensive experience of engaging young people in global issues and encouraging young people to actively participate as global citizens. Jessie Kirk, UK volunteer programme manager at Development in Action (DiA) DiA is a youth-led charity that promotes global citizenship by improving understanding and encouraging engagement in development issues among young people in the UK. Jessie is responsible for developing DiA's Citizenship Workshop programme across Greater London and supporting young volunteers. Jo Sale is head of sixth form and international baccalaureate coordinator at Impington International Sixth Form Jo has taught at Impington for 12 years. English is her subject but she currently teaches theory of knowledge and human rights in addition. In 2011, Jo completed a master's degree in education at Cambridge and is currently studying for a doctorate also at Cambridge University. Joe Dale, independent consultant and former languages teacher Joe works with a range of organisations such as Network for Languages, ALL, The British Council, the BBC, Skype, Microsoft and The Guardian. He is host of the TES MFL forum, Vital MFL portal manager for the Open University, former SSAT languages lead practitioner, a regular conference speaker and recognised expert on technology and language learning. He blogs here. Diana Linford is a teacher at two primary schools in West Yorkshire Diana teaches French to Key Stage 2 children (years 3-6) at Steeton Primary School and Eastburn Junior and Infant School. She is the fairtrade school co-ordinator at Steeton and a British Council eTwinning Ambassador in the Yorkshire region. This content is brought to you by Guardian Professional. Sign up to the Guardian Teacher Network to get access to more than 100,000 pages of teaching resources and join our growing community. Looking for your next role? See our Guardian jobs for schools site for thousands of the latest teaching, leadership and support jobs</x:v>
      </x:c>
      <x:c r="I19" s="12" t="str"/>
      <x:c r="J19" s="12" t="str"/>
    </x:row>
    <x:row r="20" ht="110" customHeight="1">
      <x:c r="A20" s="12" t="n">
        <x:v>17</x:v>
      </x:c>
      <x:c r="B20" s="12" t="str">
        <x:v>NEWS-guardian_api-5155ba13661a</x:v>
      </x:c>
      <x:c r="C20" s="12" t="str">
        <x:v>Widow sues NHS over deaf husband's 'diabolical' care</x:v>
      </x:c>
      <x:c r="D20" s="12" t="str">
        <x:v>https://www.theguardian.com/society/2021/mar/07/widow-sues-nhs-over-deaf-husbands-diabolical-care</x:v>
      </x:c>
      <x:c r="E20" s="12" t="str">
        <x:v>data/raw/news/text/NEWS-guardian_api-5155ba13661a.txt</x:v>
      </x:c>
      <x:c r="F20" s="12" t="str">
        <x:v>data/raw/news/text/NEWS-guardian_api-5155ba13661a.txt</x:v>
      </x:c>
      <x:c r="G20" s="12" t="n">
        <x:v>4805</x:v>
      </x:c>
      <x:c r="H20" s="12" t="str">
        <x:v>A woman is taking legal action against an NHS trust over the “diabolical” and discriminatory treatment of her profoundly deaf husband, who died of cancer in May last year. Susan Kelly, who is also deaf, is angry that her husband, Ronnie, was at no point during two hospital admissions and an outpatient appointment provided with a British Sign Language (BSL) interpreter. Instead, her hearing daughter, Annie Hadfield, was asked to translate his terminal diagnosis, when he was told to “get his affairs in order” and given between two weeks and two months to live, while his wife was left outside the room. He died just over two weeks later at home. Medical staff at Sheffield Teaching Hospitals NHS trust also placed a “do not resuscitate” (DNR) order on Kelly, who had Alzheimer’s disease, during his first hospital admission in late April without either his consent or consulting his wife or daughter. His family found out only after their barrister obtained his hospital notes. In her first media interview, Susan Kelly told the Observer through an interpreter: “I didn’t know what DNR meant. I had no idea. I was really shocked. They’d never asked me anything about it. That wasn’t right, it was wrong. Ronnie wouldn’t have known what it meant.” Hadfield added: “I thought it was actually quite diabolical.” The trust is undertaking a review to understand what happened. David Hughes, medical director, said: “We do acknowledge that we have more to do to support patients and relatives who have hearing impairments and it is an area of work we are actively looking at to make improvements.” The case, brought by Derbyshire Law Centre, argues that the trust breached the Equality Act 2010, the Human Rights Act 1998 and the NHS accessible information standard by not making reasonable adjustments for Ronnie’s disability and by imposing a DNR without discussing it with the patient and his family first. Kelly and her daughter hope the case will raise awareness of the struggles that deaf people face. There are more than 80,000 people who use BSL as a first language in the UK and they often encounter barriers to accessing information and services. The family’s story is far from uncommon, and it’s not the first time a hearing relative has had to translate sensitive and distressing information. Kelly herself was admitted to hospital two years ago after a heart attack and fitted with a stent without knowing what was going on because no interpreter was present. Kate Bushen, service supervisor for the deaf advice team at Citizens Advice Sheffield, who is supporting the family, said: “We hear these horrific stories all the time. We’ve tried to work with the trust to put things in place but nothing’s changed.” She added: “It is absolutely wrong that a family member should be used without choice and without knowing why.” Covid and the introduction of face masks and an increased reliance on phones and the internet has exacerbated the situation, she added. Catherine Casserley, a barrister specialising in discrimination and equality, among other areas, who is involved in the Kelly case, agreed: “Access to information for disabled people across the board is, in my view, pretty poor and if you are deaf it’s incredibly poor … If you’re a BSL user, then getting access to timely, accurate information is incredibly difficult, particularly with Covid when things have been changing rapidly.” The Observer has been made aware of other cases where deaf people have faced barriers to accessing services, with sometimes drastic consequences. For example, one pregnant women needed a BSL interpreter at her labour but the hospital refused to arrange one, leading her to become stressed and depressed about not having any communication support and a deaf man was given medication by his doctor but didn’t know what it was because no effort was made to explain it to him. He sought help from the deaf advice team, who looked up the medication and found out it was for a chronic condition before referring him back to the GP. Several weeks later, he texted the team from hospital saying his condition had worsened and that he felt so alone because he had no way of communicating. Chris Fry, a specialist equality lawyer at Fry Law, is leading legal challenges against the government – on behalf of campaigner Katherine Rowley, whose first language is BSL – over its refusal to provide a BSL interpreter in daily Covid briefings in England. He said: “We’re 26 years since the Disability Discrimination Act and 11 years since the Equality Act. The whole purpose was to embed consideration of reasonable adjustments in the context of decision-making within government and public services, and it’s just not happened. When we’ve been tested, we’ve been found well lacking and that’s super-disappointing.”</x:v>
      </x:c>
      <x:c r="I20" s="12" t="str"/>
      <x:c r="J20" s="12" t="str"/>
    </x:row>
    <x:row r="21" ht="110" customHeight="1">
      <x:c r="A21" s="12" t="n">
        <x:v>18</x:v>
      </x:c>
      <x:c r="B21" s="12" t="str">
        <x:v>NEWS-guardian_api-568af3a4ccd4</x:v>
      </x:c>
      <x:c r="C21" s="12" t="str">
        <x:v>US presidential election 2012: The fight for Ohio, the state that likes to back the winner</x:v>
      </x:c>
      <x:c r="D21" s="12" t="str">
        <x:v>https://www.theguardian.com/world/2012/nov/03/ohio-romney-obama-winner</x:v>
      </x:c>
      <x:c r="E21" s="12" t="str">
        <x:v>data/raw/news/text/NEWS-guardian_api-568af3a4ccd4.txt</x:v>
      </x:c>
      <x:c r="F21" s="12" t="str">
        <x:v>data/raw/news/text/NEWS-guardian_api-568af3a4ccd4.txt</x:v>
      </x:c>
      <x:c r="G21" s="12" t="n">
        <x:v>10738</x:v>
      </x:c>
      <x:c r="H21" s="12" t="str">
        <x:v>Ohio is where the warring halves of America meet. This midwestern state, mixing rural farmland, small towns and decaying industrial cities, is the ground zero of the bitter and protracted 2012 election that on Tuesday will decide who wins the White House. It is where blue state Americans, who back Barack Obama to win a second term, battle over turf with red state Americans who desperately want Republican challenger Mitt Romney to bring the right back to power. Ohio has voted for the winning candidate in very election bar one since 1944 (in 1960, it went for Nixon over Kennedy). No Republican has ever won the White House without taking Ohio. If Obama can stop Romney here, he is likely to emerge the victor. But if Romney can take the state it will signify a ground shift: one that will reduce Obama to a humbled, one-term president. Both sides know this. In the small town of Celina in western Ohio last week, the state's lieutenant-governor, Mary Taylor, was acting as a warm-up act for Romney and his running mate, Wisconsin congressman Paul Ryan. In a high school sports hall she warned a packed crowd: "The world is watching Ohio." A day later, on the other side of the state – literally and metaphorically – former president Bill Clinton was oozing Arkansas charm in the "rust belt" city of Youngstown. "Ohio is an old-school kind of state, and I mean that in the best possible sense," Clinton drawled. "Obama had your back when you were against the wall, and you will have his back now." This, after months of brutal campaigning, is where it ends. All the heat and fury of almost two years of rallies and speeches, all the relentless attack ads, all the politicking and horse-trading, comes to a head this week. Across America there are only a nine states where votes matter. Giant states such as Texas and California are already in the bag for, respectively, Romney and Obama. Instead, these few swing states – from Colorado in the west to Florida in the south and tiny New Hampshire in New England – are the battleground on which the election has been fought. The fight there is poised on a knife edge. Romney's surge after the first presidential debate has abated and left the national polls largely tied. In the swing states – and, crucially, in Ohio – Obama holds a slim but steady lead. That means, as the election goes down to the wire, it is Obama who many believe has his nose just ahead. But the last week has seen a frantic final push. Across the swing states tens of thousands of party volunteers have gone door to door. The "get out the vote" plans for election day are being rehearsed and fine-tuned. Airwaves in the swing states are so saturated with political ads that in some areas there is no ad space left to buy. Even superstorm Sandy – which devastated the north-east – saw the campaign suspended for only a couple of days before combat resumed. By the time people vote on Tuesday a staggering $2.5bn will have been spent on the election – the most expensive in history. Yet in Ohio, despite the intense effort, two different realities stubbornly persist. John DeCaussim, a 56-year-old Youngstown mechanic, said he could not understand how anyone could vote for Romney. "I have no idea why this election is close," he said. "It shouldn't be." Meanwhile, in Celina sales manager Jim McGee, 62, believed Obama was a threat to the country's existence. "He's been a disaster. In my lifetime I have never seen things fall apart so far," he said. For Republicans the importance of winning Ohio is maths and history. Every Republican president has had the state on his side. And almost every plan that party strategists have devised to grab the White House for Romney includes Ohio in the win column. As a result, the Romney campaign has been virtually camped in the state. Romney has visited almost 50 times this year alone. Ryan too has been a virtual ever-present. The state has seen a remarkable transformation of the Romney message over the last week. He has sought to shed his conservative image and long career in high finance and turn into an economic populist, emoting about tough economic times and bewailing the plight of the poor. In Findlay, Ohio, a small college town with a dilapidated Main Street, Romney was in full flow. He told stories of single mothers, low wages and parents making sacrifices so they could buy birthday presents for their children. For Romney, a millionaire many times over who has repeatedly extolled the virtues of high capitalism, it was a jarring performance. "There has been a middle-class squeeze in this country," he said. Romney even started to sound like Obama circa 2008. He has adopted the "change" slogan as his own, portraying himself as an enemy of the status quo. "I happen to think that the American people understand that we need dramatic and real change," he said. Ignoring the last three years of bitter politics and a Tea Party-dominated Republican party, he claimed to be a centrist, keen to reach out a Republican hand to Democrats, even though it is the same hand that has been rejecting Obama for his entire first term. But Romney as populist fist-pumper was as nothing compared to the musical act in Findlay. Before the teetotal, Mormon former Massachusetts governor took the stage, country music stars John Rich and Cowboy Troy, a black rapper, gave a lyrical performance, singing I Play Chicken with the Train. Rich suggested the crowd treat polling day like a drunken football game day party. "I would make a tailgate party and go to vote for Mitt Romney. Put that man in the White House, can you hear? Oh yeah," Rich said. "Put some beer in the cooler in the truck!" But if such contradictory images were a sign of a notoriously fluid Romney, keen to find any message that sells in Ohio, there have also been signs in recent weeks of the Republican party's knife-sharp edge. Across America mysterious anonymous "robo-texts" slamming Obama have been buzzing millions of people's mobile phones. Billboards appeared in Ohio, and other swing states, apparently targeting poor and minority neighbourhoods with warnings of the threat of prison for voter fraud. On the airwaves the ads have got more extreme. A Romney ad claiming Jeep production was being moved to China was condemned as an outright lie by Jeep's own parent company, Chrysler. Another ad, running in Florida, linked Obama to Cuba's Fidel Castro and Venezuelan president Hugo Chávez. Neither is virulent dislike for Obama hard to find, often tinged with a sense that the president is not really American. "I want to support Romney the good old-fashioned American way," said construction worker Kevin Williams, 48, in Celina. "I don't like socialism and Obama supports that." There is little doubt that Republicans are highly motivated. Maggie Niswaner is 73 but reckons she has walked more than 20 miles in the last week, knocking on doors and delivering pamphlets as a volunteer for Romney in Findlay. "I am a good American," she said when asked for a reason why she was putting in such efforts to defeat Obama. The doom and gloom pumped out by the Romney campaign has worked, too. Though there is little doubt the economy is stuttering in its recovery, and unemployment remains high, but has been on a downward trend. But that is taboo on the Republican campaign trail. "We have a jobs crisis in America," said Paul Ryan in Celina, pointing out that 23 million Americans were struggling to find enough work. But Ryan is right about one thing. It is a favourite part of the firebrand conservative's performance to read out a quote at the beginning of his stump speech. It goes: "If you do not have fresh ideas, use stealth tactics to scare voters. If you do not have a record to run on, paint your opponent as someone that people should run from." Ryan then asks his audience who said that and delightedly gives the answer. "That's what Barack Obama said when he was running for president four years ago. Now when you switch on the TV that is exactly what he has become," Ryan said in Findlay. There is much truth in the claim. Obama's re-election campaign, led by the hardnosed political operative David Axelrod, has been relentlessly negative. It has been a brutally sustained assault on Romney's image. One controversial – and widely debunked – attack ad all but accused Romney of killing a man's wife after she lost healthcare benefits. Obama has raised and spent hundreds of millions of dollars on negative advertising and Bill Clinton and vice-president Joe Biden have become even punchier as the campaign has drawn to a close. In Youngstown, Clinton mocked Romney's flexibility of ideas, perhaps forgetting his own notorious "triangulation" of policy. "Romney ties himself in more knots than a boy scout does at a knot-tying contest," Clinton quipped. Biden followed suit. "This guy pirouettes more than a ballerina," he said, bringing a cry of "Romney is a liar!" from the audience. It is not a pretty end to Obama's campaign. And it is a long way from "hope and change". Though few ever expected Obama to fulfil the wild expectations of his historic 2008 election win, his first term has ended with a disappointed liberal base dismayed by broken promises on union rights and closing Guantánamo Bay and by a resounding defeat in the 2010 midterm elections. The result has been an Obama effort that has only hesitantly defended its main policy achievement of healthcare reform and has focused on attacking Republicans, rather than laying out any bold agenda. Yet, for many on the blue state side of Ohio's divide, that is more than enough. On the streets of Akron, a city at the heart of the north-eastern rust belt, student Cara Chappell remained loyal. "When Obama came in it was already all messed up," she said. "The next four years he will be able to get things right. He had to save the economy first." She cannot conceive of a Romney victory, even as she admits that her mother – who boasts a technology degree – cannot find work and might leave the state. "If Romney wins, I will probably be speechless for the first time in my whole life," she said. So will Axelrod. Buoyed by polls showing that Obama is holding on to a slim lead in Ohio, his political guru was in a bullish mood. "I don't want to be ambiguous at all: we are winning this race," he said. Of course, both sides cannot be right. Unless the election is so tight that it ends up in court decisions and recounts, either blue state America or red state America will triumph. But the warring sides agree on one thing. As Ryan looked out over an enthusiastic crowd of Republican true believers in Celina, he told them: "Ohio, you get to decide." That decision – whatever it is – will affect the whole world.</x:v>
      </x:c>
      <x:c r="I21" s="12" t="str"/>
      <x:c r="J21" s="12" t="str"/>
    </x:row>
    <x:row r="22" ht="110" customHeight="1">
      <x:c r="A22" s="12" t="n">
        <x:v>19</x:v>
      </x:c>
      <x:c r="B22" s="12" t="str">
        <x:v>NEWS-guardian_api-649bfee8381e</x:v>
      </x:c>
      <x:c r="C22" s="12" t="str">
        <x:v>No 10 to delay four England mayoral elections amid accusations of ‘cancelling democracy’</x:v>
      </x:c>
      <x:c r="D22" s="12" t="str">
        <x:v>https://www.theguardian.com/politics/2025/dec/04/no-10-delay-four-england-mayoral-elections-accusations-of-cancelling-democracy</x:v>
      </x:c>
      <x:c r="E22" s="12" t="str">
        <x:v>data/raw/news/text/NEWS-guardian_api-649bfee8381e.txt</x:v>
      </x:c>
      <x:c r="F22" s="12" t="str">
        <x:v>data/raw/news/text/NEWS-guardian_api-649bfee8381e.txt</x:v>
      </x:c>
      <x:c r="G22" s="12" t="n">
        <x:v>4644</x:v>
      </x:c>
      <x:c r="H22" s="12" t="str">
        <x:v>Ministers are to postpone elections for new mayors in four parts of England, prompting accusations from opposition parties that Downing Street is “cancelling democracy”. Newly created mayoralties in Greater Essex, Norfolk and Suffolk, Hampshire and the Solent, and Sussex and Brighton will be first contested in 2028 under the plans, ministers confirmed on Thursday. The government argued that the areas needed more time to complete their local government reorganisation, but faced criticism from opposition parties and the Labour former local government minister. Jim McMahon, who was removed as a minister in September, said his party needed “to be better than this” and had “a moral and a legal obligation to honour its side of the bargain”. Criticising the postponement in the Commons, he said: “All involved had a reasonable expectation that these elections would go ahead, and the government knows that trust is hard won but is easily squandered.” The Conservatives, Liberal Democrats and Reform UK all called the move, first reported by the Sun, an affront to democracy. Defending it in the Commons, Miatta Fahnbulleh, the local government minister, said the delay would allow the strategic combined authorities to be properly set up before mayors were in post. “The government is minded to hold these inaugural mayoral elections for Sussex and Brighton, Hampshire and the Solent, Norfolk and Suffolk, and Greater Essex in May 2028, so these areas have the opportunity to conclude their local government reorganisation and build strong, effective unitaries, which is what we want to see, and to establish their strategic authority before the mayor takes post,” she told MPs. The government announced £200m in funding for six regions across England, of which four are having their elections postponed. Greater Essex will receive £41.5m, Hampshire and the Solent £44.6m, Norfolk and Suffolk £37.4m, and Sussex and Brighton, £38m. Kemi Badenoch, the Conservative leader, called the decision “a scandal” and said the government’s reasoning “doesn’t wash”. “They’ve had plenty of time to do this,” she told broadcasters during a visit to a west London school. “What we’re seeing is a Labour government that wasn’t actually ready for government, and they’ve come in and they’re making up their plans as they go along.” Richard Tice, Reform’s deputy leader, said: “Generally it’s dictators that cancel elections. Some 7.5 million people are now going to be denied the opportunity of voting in mayoral elections. “Funny isn’t it: we’ve just announced our mayoral candidates for all of these areas and all of a sudden the government, terrified of losing to Reform, are cancelling them,” he told the BBC Radio 4 Today programme. “To delay it two years: that is a deliberate dictatorial cancelling of democracy in the United Kingdom and we shouldn’t tolerate it.” The Reform leader, Nigel Farage, said he held the government increasingly in “absolute and total contempt”, and was considering a judicial review with the aim of overturning the decision. “The one legal action we are going to consider tonight is whether we can go to judicial review to make these mayoral elections go ahead … we have talked to our lawyers and we are considering that.” The Liberal Democrats’ local government spokesperson, Zöe Franklin, said the delay was “a disgrace” and that “democracy delayed is democracy denied”. Defending the decision to broadcasters, the children’s minister Josh MacAlister said: “The people who are saying this are the same people who a few years ago were proroguing parliament. We’ll take no lectures from these people about democracy, protecting it, freedom of speech and all the rest of it.” He added: “There are elections taking place next year – local authorities where they’re still in two tiers and haven’t reorganised that basic foundation of being a unitary council – it would be a rush to push for that now rather than get it right. But we’re not delaying the money that goes into those communities.” The new mayoralties were announced under devolution reforms in February, which promised “sweeping” powers for local authorities to fast-track growth. Elections in nine council areas – East Sussex, West Sussex, Essex, Thurrock, Hampshire, the Isle of Wight, Norfolk, Suffolk and Surrey – were already postponed from this year to 2026 amid the reorganisation of local government in England. Reform UK enjoyed success in the local elections last May, winning more than 600 seats and taking control of 10 councils, including Kent and County Durham. The party also toppled a 14,000-strong Labour majority in a parliamentary byelection.</x:v>
      </x:c>
      <x:c r="I22" s="12" t="str"/>
      <x:c r="J22" s="12" t="str"/>
    </x:row>
    <x:row r="23" ht="110" customHeight="1">
      <x:c r="A23" s="12" t="n">
        <x:v>20</x:v>
      </x:c>
      <x:c r="B23" s="12" t="str">
        <x:v>NEWS-guardian_api-64ea38ced8bd</x:v>
      </x:c>
      <x:c r="C23" s="12" t="str">
        <x:v>'After assembly, I cried': Surrey school grapples with race issues</x:v>
      </x:c>
      <x:c r="D23" s="12" t="str">
        <x:v>https://www.theguardian.com/education/2021/mar/28/after-assembly-i-cried-surrey-school-grapples-with-race-issues</x:v>
      </x:c>
      <x:c r="E23" s="12" t="str">
        <x:v>data/raw/news/text/NEWS-guardian_api-64ea38ced8bd.txt</x:v>
      </x:c>
      <x:c r="F23" s="12" t="str">
        <x:v>data/raw/news/text/NEWS-guardian_api-64ea38ced8bd.txt</x:v>
      </x:c>
      <x:c r="G23" s="12" t="n">
        <x:v>6452</x:v>
      </x:c>
      <x:c r="H23" s="12" t="str">
        <x:v>The clip, which lasts just under a minute, shows a schoolgirl, blurred out to protect her identity, addressing a crowd of children – most in their school uniforms – carrying placards. Her voice echoes across the playground, shaking with emotion. “After the assembly on Tuesday, I cried. I cried out of sadness because I felt the school had invalidated my feelings and experience as a black person. I cried out of frustration because I was told that instead of standing up for myself I should stay silent,” the girl says. The speech was made in the playground of Nonsuch high school for girls in Surrey. Though the degree of racial diversity at the grammar school has been described as “incredible”, it found itself at the centre of a mass demonstration in October when hundreds of students from all backgrounds protested against perceived “white privilege”. While students there say the school is taking steps to address their concerns, it has been a bruising few months. It all started when a student posted a comment online that some perceived as racist. The message, published on a social media platform during lockdown in May, allegedly included the phrase “all lives matter”, belittled upset over use of the N-word, and maintained the deaths of George Floyd and other black Americans at the hands of police were accidents. Some pupils confronted the student behind the comments, but it was not until 9 October that the school was made aware of the incident, when an allegation of bullying was made by the student who posted the comments. Four days later, the headteacher, Amy Cavilla, spoke to a group of students to understand what had happened and “stem the circulation of rumours”. She held assemblies to reiterate and clarify the school’s “stance against racism”. However, some pupils felt like they were being reprimanded for raising their concerns about the online comments. “A lot of students actively followed the Black Lives Matter movement and expected to see it reflected in the school’s response. That assembly sparked so much anger within us. But that anger united us all in a way we never have been before,” one student, Anise Sloper, told her local paper at the time. Another student, who wanted to remain anonymous, said: “We should not be told, by someone who has never experienced racism, how we should react.” In the following days the situation escalated. The protest took place on 15 October. More than 500 students, joined by some teachers, gathered together on school grounds after morning break, holding placards bearing anti-racist slogans such as “tolerating racism is racism” and the raised fist associated with social protest and the Black Lives Matter (BLM) movement. “Standing there in front of that crowd – I’ve never felt so proud to be a Nonsuch student,” Sloper said. “To be part of a student body that was able to pull together and do that in just two days? Nothing but pride for the students of Nonsuch at the moment.” Afterwards, pupils singled out the school’s response to the BLM protests for criticism, claiming staff had taken down posters, with one reportedly saying “all lives matter” to pupils. “The protest was about something bigger – we were frustrated at the way the school looked at race and racism,” said another student, who wished to remain anonymous. At the time the headteacher emphasised the school “does not tolerate racism” and was working internally with students, staff and external authorities including the police and council to ensure the concerns of students were addressed. That week nearly 900 alumni of the school co-signed a letter urging the senior leadership team to take action. “As alumni, we would ask what action Nonsuch is committed to taking to decolonise itself as an institution and become actively anti-racist, which should include the removal of racist staff and the hiring of people of colour in leadership and pastoral care positions,” it said. Emily Carewe, a theatre producer who studied at the school in 2002-08 and co-wrote the letter, said: “I was angry that off the back of hollow statements after the BLM protests, the school was immediately belittling the experiences of their students of colour.” Another co-author of the letter, Lorjah Raja,, a recruitment consultant, said: “During my time at the school I never suffered any racism from other pupils or teachers. We felt a responsibility as former students to somehow protect the children that are there now.” Since the protests and the letter, students have reported the school has taken steps to address the criticism and implemented training of staff. “Fortunately, quite a few things have changed. Some teachers are undergoing training and we’ve heard micro-aggressions are covered in this,” said the anonymous student. “We are on the right path but I want to make sure that this isn’t just a token gesture and we will continue to address racism.” Cavilla told the Guardian the school, like many others, was trying to improve diversity and inclusion. She acknowledged there was a miscommunication on her part with the students but said she had been trying to crack down on behaviours that could cloud the investigation into the online post incident. Allegations against staff were also followed up in accordance with the trust’s safeguarding policy. In response to the removal of the posters, the headteacher clarified that some were taken down by cleaners but that when she became aware of this, staff were told to leave them in place so students did not feel their voices were being silenced. In addition, some of the protest posters were now on permanent display in the school. “This lack of understanding and awareness of the depth of feeling among our students led to a student protest to show their support for BLM in general and to protest against the handling by the school of a racist incident,” Cavilla said. “[The protest] took on a momentum that was impressive and importantly cathartic for our students.” Last June, a race advocacy council was formed at the school, and a trust-wide race equality steering group. “Our staff have been trained to hold supportive BLM drop-ins for students to be heard and ask questions; and we have engaged the charity Stop Hate to deliver PSHE [personal, social, health and economic education] on understanding hate crime and hate speech versus free speech. Our training programme is ongoing and sustained – we are in this for the long haul,” Cavilla said.</x:v>
      </x:c>
      <x:c r="I23" s="12" t="str"/>
      <x:c r="J23" s="12" t="str"/>
    </x:row>
    <x:row r="24" ht="110" customHeight="1">
      <x:c r="A24" s="12" t="n">
        <x:v>21</x:v>
      </x:c>
      <x:c r="B24" s="12" t="str">
        <x:v>NEWS-guardian_api-6549611cf8a4</x:v>
      </x:c>
      <x:c r="C24" s="12" t="str">
        <x:v>‘The government must unlock the money. Because the care crisis is now’   | Hélène Mulholland</x:v>
      </x:c>
      <x:c r="D24" s="12" t="str">
        <x:v>https://www.theguardian.com/society/2017/feb/07/social-care-crisis-funding-mental-health-barbara-keeley</x:v>
      </x:c>
      <x:c r="E24" s="12" t="str">
        <x:v>data/raw/news/text/NEWS-guardian_api-6549611cf8a4.txt</x:v>
      </x:c>
      <x:c r="F24" s="12" t="str">
        <x:v>data/raw/news/text/NEWS-guardian_api-6549611cf8a4.txt</x:v>
      </x:c>
      <x:c r="G24" s="12" t="n">
        <x:v>8280</x:v>
      </x:c>
      <x:c r="H24" s="12" t="str">
        <x:v>Ask Barbara Keeley what keeps her awake at night and Labour’s shadow cabinet member for mental health and social care will tell you it’s the stories of people in “heartrending” situations whose care is being cut. She cites the case of a man in his 80s who has been told the NHS continuing care he has received for the past six years will stop; the two paid carers will be gone, with the expectation that his wife, also in her 80s, will look after a husband who is completely immobile, incontinent, and cannot communicate or eat or drink without help. Keeley fears that such scenarios are set to increase if the funding shortfall in adult social care continues because councils and clinical commissioning groups (CCGs) “can really only get into rationing now”. “If you are a council, if you are a CCG, looking at paying NHS continuing care and you have to make cuts this year – quite a lot of councils have to make cuts this year – you are going to have to cut the care of people who are already receiving it, and that is tragic.” Adult social care has risen up the political agenda after years of consecutive austerity cuts coupled with rising demand for services. Myriad warnings from a slew of organisations have been issued about growing levels of unmet need, struggling social care providers and the additional strain placed on NHS services and informal carers. Last week, the Association of Directors of Adult Social Services called for emergency government funding of £1bn for 2017-18 to stabilise a care market on the edge of collapse. The Local Government Association, meanwhile, warned that severe underfunding was putting councils at risk of not being able to provide the help older and disabled people need with basic tasks – as stipulated in the 2014 Care Act. Not surprisingly, Keeley says much of her focus since taking up the post five months ago has been on adult social care. The government needs to bring forward £700m of social care money earmarked for 2019-20 to fund home or residential care, Keeley argues, so that older people aren’t kept in hospital unnecessarily. “They’ve allocated the funding, so they should bring it forward – because the crisis is now,” she says. This doesn’t sound enough, however, given the scale of the funding shortfall identified by town halls and health charities. Where else could money be found? She points to surpluses identified by the trade union Unison in unallocated business rates. A rise in national insurance also springs to mind. Keeley makes no mention, though, of Labour leader Jeremy Corbyn’s suggestion that Theresa May scrap a planned corporation tax cut in April – and fund social care instead. Try to discuss future sources of funding and Keeley will tell you that she and shadow cabinet colleagues are working on this now. But Keeley is clear that she wants Labour to work out its own long-term solutions, rather than taking a cross-party approach. Corbyn has already promised to take “failed private care homes” into public ownership – a move Keeley says refers to taking over care homes that go into insolvency to protect capacity. Ultimately, her ambition is to make social care free at the point of delivery. “The current situation just provides a lot of problems,” says Keeley. “What we were proposing at the last general election was that certainly end of life care should be free. You shouldn’t have to get into battles in the last few months of life about NHS continuing care and what’s paid for and what’s not. We need to be looking at a situation where if we integrate health and social care, we don’t get into all these charging issues that we do now.” With councils short of options, Tory-led Surrey last month announced a local referendum on a 15% rise in council tax, blaming cuts and the demand for services. However, on Tuesday - after the proposed referendum had received a huge amount of publicity - the council threw out the plan, in favour of a 4.99% increase, claiming the government now better understands the funding crisis councils face. Keeley, MP for Worsley and Eccles South in Greater Manchester, believes forcing councils to plug the shortfall through a tax on local property values rather than on the basis of need is not the way to tackle the issue. “It clearly isn’t fair to create an even bigger postcode lottery where the level of service you can get depends on where you live,” she says. Junior health minister David Mowat said last week that people with elderly parents had a responsibility to look after them, just as parents do their children. Keeley retorts that one million people over 65 don’t have children; moreover, three million family members in the UK are already juggling work and caring responsibilities, she says, with the peak age for caring being the 50-64 age bracket. “If you’re saying that caring is the responsibility of individuals in families, you have to think through how they are meant to juggle work with that.” She is currently discussing the scope for carers to be included in Labour’s industrial strategy. Carers’ leave, for example, would give people flexibility to take time off work at times of crisis. Keeley worked as an adviser to a carers’ charity after leaving behind a career in systems engineering, and found that family carers did not tend to raise their own needs and concerns. Her vision for social care involves looking after the needs of both unpaid family carers and paid care workers, through better support, information and recognition for the former – and better pay, terms and conditions for the latter. She cites zero-hours contracts, staff not being paid for travel times and the appalling pressure some are being put under to make shorter visits. “Yesterday someone showed me a time sheet for a care worker who was given three visits at 8pm in three separate locations.” Keeley served as shadow minister for older people, social care and carers for 10 months before being among the exodus of shadow ministers who quit in a coup against Corbyn last June. In her resignation letter, she raised the need to present the “strongest opposition we can against further Tory cuts to social care ... I am deeply concerned that the current state of the party means we will not be able to mount an effective front bench opposition to the Tories in parliament in the future”. By October, she was back and promoted to the shadow cabinet role. What prompted her return? “I was asked for one thing,” she says. “To do a job at shadow cabinet level where I can help carve out policy – and that is really important.” Curriculum vitae Age: 64 Family: Married, no children Education: Mount St Mary’s college, Leeds; University of Salford, BA in politics and contemporary history Career: October 2016 to present: shadow cabinet member, mental health and social care; September 2015 to June 2016: shadow minister for older people, social care and carers; May to September 2015: shadow financial secretary to the Treasury; October 2010 to October 2011: shadow communities and local government minister; 2011-15: House of Commons health select committee; May 2010 to October 2010: shadow health minister and shadow deputy leader of the House of Commons; 2009 to May 2010: deputy leader of the House of Commons; September 2008 to May 2009: assistant government whip; 2007-08: PPS to Harriet Harman, minister for women and equality; 2007, appointed by Gordon Brown to lead the Labour party’s manifesto work on social care; 2006-07: PPS to Jim Murphy MP, Department of Work and Pensions; May 2005 to present: Labour MP for Worsley (Eccles South added in 2010); 1990-94 and 1995-2001: adviser, community regeneration projects across Greater Manchester; 2001-05: consultant, Princess Royal Trust for Carers; 1987-89 systems engineering manager, IBM; 1982-87: systems engineer Public life: co-chair (with Baroness Grey-Thompson) of the All-Party Parliamentary Group for Women’s Sport and Fitness; 2007-08: chair, Women’s Parliamentary Labour Party 2007-09 vice chair, All Parliamentary Group on Carers; 1995-2004 councillor, Trafford council and cabinet member for education and services for children and young people Awards: 2008 Charity Champions Social Welfare Award for helping to make sure carers’ voices are heard in parliament Interests: Running</x:v>
      </x:c>
      <x:c r="I24" s="12" t="str"/>
      <x:c r="J24" s="12" t="str"/>
    </x:row>
    <x:row r="25" ht="110" customHeight="1">
      <x:c r="A25" s="12" t="n">
        <x:v>22</x:v>
      </x:c>
      <x:c r="B25" s="12" t="str">
        <x:v>NEWS-guardian_api-6d0b3b8aedc2</x:v>
      </x:c>
      <x:c r="C25" s="12" t="str">
        <x:v>Millwall admit council scheme could force club to leave Lewisham</x:v>
      </x:c>
      <x:c r="D25" s="12" t="str">
        <x:v>https://www.theguardian.com/football/2017/jan/05/millwall-admit-council-scheme-leave-lewisham</x:v>
      </x:c>
      <x:c r="E25" s="12" t="str">
        <x:v>data/raw/news/text/NEWS-guardian_api-6d0b3b8aedc2.txt</x:v>
      </x:c>
      <x:c r="F25" s="12" t="str">
        <x:v>data/raw/news/text/NEWS-guardian_api-6d0b3b8aedc2.txt</x:v>
      </x:c>
      <x:c r="G25" s="12" t="n">
        <x:v>5457</x:v>
      </x:c>
      <x:c r="H25" s="12" t="str">
        <x:v>Millwall Football Club have admitted for the first time that they may be forced to leave their south London home and relocate to Kent should the seizure of their land go ahead. Lewisham council’s plan to compulsorily purchase areas around the Den and sell them on to a mysterious offshore developer with connections to the current Labour administration has already drawn both disbelief and mass protest. With the CPO likely to be confirmed at a council meeting next Wednesday Millwall have conceded publicly for the first time the club could have to leave the area that has been their home since 1910. In a statement Steve Kavanagh, their chief executive, told the Guardian: “The chairman has always been determined that this would never happen, but under such circumstances any and every option would have to be considered to secure the football club and the Millwall Community Trust’s future as viable concerns.” Millwall have so far been cautious about conceding relocation might be the real threat. But with the community trust already set to be evicted and the club excluded from the benefits of the regeneration scheme, it also emerged last month that their academy may be unable to function under the current proposals. There is no suggestion yet of a specific alternative site. The north Kent coast has been mentioned more broadly in the past, an uprooting that would see the club plonked down up to 75 miles from its historic home. Such a move would also be a stunning blow to Lewisham itself. A London borough with a population the size of Iceland would be left without a professional sports club of any kind. Should the order be confirmed the ripples will be felt by other league clubs in areas where rising land prices are likely to attract developers with an eye on regeneration. Supporters of nearby Charlton Athletic and Leyton Orient will be watching with interest, as will other mid-size Football League clubs across the country. Until now concerns over the Millwall land-grab have centred on the council’s historic relationship with the offshore developers Renewal. Renewal’s chief executive is a former Lewisham officer and colleague of the current Lewisham chief executive, Barry Quirk, an unelected official best known locally for being paid more pro rata than the prime minister for working a three day week. In another bizarre twist Renewal was also set up and originality part-owned by the previous Labour mayor of Lewisham, Dave Sullivan. Sullivan has stated he no longer has any part in the company, which is owned by two anonymous offshore trusts based in the Isle Of Man and the British Virgin Islands. The chair of Lewisham’s own overview &amp;amp; scrutiny committee, Alan Hall, has been a lone voice inside the council with the courage to speak out against the CPO process. “Millwall Football Club are part of the cultural history of London and Lewisham with over 100 years in the borough,” Hall said. “Over the past five years Renewal’s original outline planning application has fallen apart in slow motion in front of our very eyes. The ever-shrinking proposed ‘sporting village’ will drive away one of football’s most famous clubs and its highly successful community scheme.” The AMS Millwall supporters’ organisation has led the fight on behalf of the club’s fans. On Wednesday the AMS published its own open letter to Quirk, who has emerged as the driving force behind the scheme – the mayor, Sir Steve Bullock, having stepped back due the fact he is, astonishingly, director of a Renewal-associated company, the Surrey Canal Sporting Trust. The AMS letter points to the alarming democratic deficit in Lewisham’s elected mayor system. The current setup, introduced as a Blair government initiative, has left the borough with a largely unregulated cabinet and a chief executive, in the shape of Quirk, who has no mandate, is electorally unaccountable, but is currently heading up a scheme that will evict local residents from their homes. The letter also points out that the council’s attempts to provide reassurance on the probity of its plans in the form of an email from Mushtaq Malik, Renewal’s CEO, are likely to be met with derision. “Is it right,” the AMS asks, “that the council has been put in a position where its chief executive is reduced to publishing emails from a third party actively denying that inside deals, murkiness and personal relationships are in play?” The AMS also voiced its own fears that offshore developers could be allowed to succeed where the Luftwaffe’s bombs and successive economic depressions have previously been staved off: “Failure to listen to genuine concerns could, we fear, lead to Millwall Football Club’s loss of academy status as recognised by the EFL and ultimately the club being forced to relocate from the London borough of Lewisham.” The Liberal Democrat party has also called for the plans to be scrapped. “The only compelling case that’s been made is that this Renewal scheme will be a disaster for the local community.” Bobby Dean, Parliamentary spokesperson said. “Millwall FC is the largest sporting asset Lewisham has and their future cannot be jeopardised by this luxury scheme with no regard to affordable housing. Lewisham should withdraw the plans and start again – this time properly involving the football club and local community.” This article was corrected on Friday 6 January 2017 to reduce the number of miles Millwall could move to Kent from 100 miles to 75</x:v>
      </x:c>
      <x:c r="I25" s="12" t="str"/>
      <x:c r="J25" s="12" t="str"/>
    </x:row>
    <x:row r="26" ht="110" customHeight="1">
      <x:c r="A26" s="12" t="n">
        <x:v>23</x:v>
      </x:c>
      <x:c r="B26" s="12" t="str">
        <x:v>NEWS-guardian_api-6d2d7efbb858</x:v>
      </x:c>
      <x:c r="C26" s="12" t="str">
        <x:v>Spirit of Margaret Thatcher invoked by Tory backers of gay marriage</x:v>
      </x:c>
      <x:c r="D26" s="12" t="str">
        <x:v>https://www.theguardian.com/society/2013/feb/04/margaret-thatcher-tory-backers-gay-marriage</x:v>
      </x:c>
      <x:c r="E26" s="12" t="str">
        <x:v>data/raw/news/text/NEWS-guardian_api-6d2d7efbb858.txt</x:v>
      </x:c>
      <x:c r="F26" s="12" t="str">
        <x:v>data/raw/news/text/NEWS-guardian_api-6d2d7efbb858.txt</x:v>
      </x:c>
      <x:c r="G26" s="12" t="n">
        <x:v>4961</x:v>
      </x:c>
      <x:c r="H26" s="12" t="str">
        <x:v>Tory supporters of equal marriage are making an eleventh hour plea to fellow Conservative MPs to vote in favour of reform by invoking the record of Margaret Thatcher, who supported the legalisation of homosexuality in the 1960s. Amid fears in No 10 that David Cameron may struggle to win the support of a majority of his MPs, reformers are pointing out that Thatcher set herself apart from Tory traditionalists who described the bill legalising homosexuality as a "dirty measure". Downing Street knows that the marriage (same sex couples) bill will easily receive its second reading because an overwhelming number of Labour and Liberal Democrat MPs will line up alongside Cameron loyalists to vote for it. But up to half of the Tory parliamentary party's 303 MPs may fail to support the bill by voting against it or abstaining in the second reading, which is subject to a free vote. Scores of Tory MPs say they are facing intense pressure in their constituencies to vote against the measure. The strength of feeling in the party was highlighted on Sunday when 20 current and former Tory constituency association chairmen delivered a letter to No 10 warning that the bill would inflict "significant damage" to the party in the runup to the next election. Geoffrey Vero, chairman of Michael Gove's Surrey Heath association, said the education secretary had told him he feared that teachers could be vulnerable to a legal challenge if they decline to inform students about legalisation of equal marriage if the bill becomes law. Downing Street, which had been drawing up plans for the prime minister to make a strong statement in favour of the measure, softened its tactics amid anger that the free vote has been qualified by government whips. While Tory and Liberal Democrat MPs are entitled to vote with their consciences in the second reading vote, which allows the bill to proceed to its next stage, they are subject to a three-line whip on the "programme motion" which sets the timetable for the bill. Any member of the government "payroll vote" – ministers and their parliamentary aides – who defy a three-line whip would have to resign. The decision of the whips to impose a three line whip means that David Burrowes, aide to Cabinet Office minister Oliver Letwin and a leading member of the no camp, is expected to abstain in the "programme motion" vote. Burrowes will vote against the second reading without jeopardising his position as parliamentary private secretary. Burrowes' supporters expressed anger at the government's tactics. "David Cameron has made great play of how he is offering us a free vote," one said. "But it is highly qualified. We are being whipped to enable this bill." While the prime minister is struggling to control his backbenchers, there are signs that cabinet traditionalists are keen not to undermine him. Chris Grayling, the justice secretary who infuriated Cameron during the last general election campaign by saying that owners of bed and breakfasts in their homes should "have the right" to turn away homosexual couples, rallied to the prime minister's side. In an article for the gay magazine Attitude, Grayling wrote: "Of course we need to protect the right of the individual to have a conscience and of religious institutions to follow their own path. But that does not mean that the state has to do the same. Its job is to recognise the commitment between a couple to spend the rest of their lives together, and not to judge who that couple are." Iain Duncan Smith, the socially conservative work and pensions secretary, is understood to be preparing to abstain or vote in favour of the measure. Owen Paterson, the environment secretary, is understood to be less supportive. Downing Street defended its decision to allow a free vote for the second reading while imposing a three-line whip on the programme motion. The prime minister's spokesman said: "It is a free vote because when MPs are voting on the matter of substance they are free to vote according to their own personal beliefs." Traditionalists are citing Thatcher's vote in favour of Leo Abse's landmark sexual offences bill when it was presented to MPs in July 1966. Sir Cyril Osborne, the main Tory opponent of the measure, used an argument now deployed by opponents of same sex marriage: reformers had no mandate for change. Osborne told MPs on 5 July 1966: "I claim that the sponsors of the bill have no mandate whatever for the measure. I hold in my hand the three party election manifestos. The Liberals, the Conservatives and the Socialists did not put one word in their manifestos about this so-called homosexual reform. I therefore say that the sponsors have no mandate whatever for the Bill. Why was there not a word in the party manifestos? We are all politicians and we have all sought votes. The framers of our manifestos knew full well that the ordinary people of Britain, to whom we go for our votes, would not have stomached this proposal."</x:v>
      </x:c>
      <x:c r="I26" s="12" t="str"/>
      <x:c r="J26" s="12" t="str"/>
    </x:row>
    <x:row r="27" ht="110" customHeight="1">
      <x:c r="A27" s="12" t="n">
        <x:v>24</x:v>
      </x:c>
      <x:c r="B27" s="12" t="str">
        <x:v>NEWS-guardian_api-775f95b2aee7</x:v>
      </x:c>
      <x:c r="C27" s="12" t="str">
        <x:v>Tuesday briefing: What the BBC’s new crisis reveals about its failures – and future</x:v>
      </x:c>
      <x:c r="D27" s="12" t="str">
        <x:v>https://www.theguardian.com/world/2025/nov/11/tuesday-briefing-what-the-bbcs-new-crisis-reveals-about-its-failures-and-future</x:v>
      </x:c>
      <x:c r="E27" s="12" t="str">
        <x:v>data/raw/news/text/NEWS-guardian_api-775f95b2aee7.txt</x:v>
      </x:c>
      <x:c r="F27" s="12" t="str">
        <x:v>data/raw/news/text/NEWS-guardian_api-775f95b2aee7.txt</x:v>
      </x:c>
      <x:c r="G27" s="12" t="n">
        <x:v>13871</x:v>
      </x:c>
      <x:c r="H27" s="12" t="str">
        <x:v>Good morning. In 2004, when Greg Dyke quit the BBC in the wake of the Hutton inquiry, a much younger me was at the beginning of my media career, working at BBC Online. I remember staff felt the relatively popular director general had been the victim of the government lashing out after the death of David Kelly, and a failure to produce convincing evidence of the fabled weapons of mass destruction that supposedly supported Tony Blair’s decision to invade Iraq. Many BBC staff will no doubt have been feeling a similar grievance after the abrupt resignations of director general Tim Davie and head of BBC News Deborah Turness on Sunday. They departed after a week of concerted attacks on the organisation orchestrated by the rightwing press and figures closely associated with the Conservative party – particularly Boris Johnson’s administration. For today’s newsletter, I spoke to the Guardian’s media editor, Michael Savage, about what this affair tells us about the editorial issues at the BBC, the failures of its governance, the political agenda against it, and why the crisis comes at a critical juncture for the future of the nation’s original public service broadcaster. Before that, here are the headlines. Five big stories UK politics | Rachel Reeves is planning to remove the two-child benefit cap in full in the November budget, in a move that could cost more than £3bn but lift 350,000 children out of poverty. Environment | Governments failing to shift to a low-carbon economy will be blamed for famine and conflict abroad, the UN’s climate chief warned at the start of Cop30 climate talks in Brazil. France | The former French president Nicholas Sarkozy has been released from prison, after a judge ruled he could serve the rest of his sentence at home, pending an appeal. Earlier he had told a Paris appeal court that his three weeks in jail had been a “nightmare”. Protest | Ministers banned Palestine Action despite being told by their advisers it could “inadvertently enhance” the group’s profile, an official government document written three months before the proscription of the group shows. Books | Hungarian-British author David Szalay has won the 2025 Booker prize for his novel Flesh. In depth: Boardroom politics, culture war pressures and a BBC left adrift To lose one senior BBC executive may be regarded as a misfortune, to lose two looks like a crisis. The Guardian’s media editor, Michael Savage, told me that a few things are happening at the same time: “One is Michael Prescott’s letter that’s been put together listing what he says are failings at the BBC over a long period. They’re all coming from one political position – worrying the BBC has become too liberal in its views on things like transgender rights, Donald Trump and Israel’s war in Gaza.” Michael added: “Beyond that, there’s a sense that, while there may be some genuine failings, there is also a complete absence of the BBC defending itself at a crucial period, which has allowed the situation to escalate. And with the charter renewal imminent in 2027, there is an open question about what a future for the BBC might look like.” On Monday, BBC chair Samir Shah apologised for the Trump edit, admitting it “gave the impression of a direct call for violent action”, and promised a review of every item raised in Prescott’s memo. *** How does this scandal compare to previous crises? The BBC does seem to have a collective crisis every decade or so. There was the aforementioned Dyke resignation in 2004. Then, in 2012, George Entwistle resigned after being in the role just 54 days – barely longer than Liz Truss was prime minister. He went after an edition of Newsnight wrongly implicated a Conservative peer in a historic child abuse scandal in Wales while the BBC was already facing a storm of criticism over its handling of allegations against the paedophile Jimmy Savile. Compared to those seismic events, one incorrectly edited clip of Donald Trump and a litany of rightwing culture war talking points seems like rather small beer, so why has this caused such an upheaval? Michael tells me the scale of the fallout is less about the original mistake and more about the political machinery around it. “The Johnson administration appoints someone – Robbie Gibb – with a particular point of view; he then appoints the former Sunday Times political editor Prescott, who may be like-minded; then that person publishes a critical letter; and the BBC’s opponents use it to attack the organisation.” He adds: “Whatever the real editorial failings, that chain of events has led to this extraordinary outcome.” *** A question of governance Amidst that huge political pressure, Michael points to an issue of weak governance at the BBC leading to the perfect storm. Gibb, who helped launch GB News and was head of communications at Downing street under Theresa May, is just one of 13 board members at the BBC. It was a panel including Gibb that appointed Prescott to his advisory role, and it was Prescott’s letter that ultimately triggered the chaos. But Gibb has also been accused of wielding outsized influence and steering the corporation rightwards. He finds himself in prime position to do so, as one of the only board members with deep editorial experience, in a team largely focused on expanding the BBC’s potential commercial revenues. In an interview for the BBC yesterday afternoon, chair Shah said he “did not want to lose” Davie as director general, calling him “outstanding” and saying the job had taken a huge emotional toll. He rejected claims of systemic institutional bias at the corporation and said that, with regard to Middle East coverage, critics needed “perspective and proportionality” given the hundreds of hours broadcast. “I don’t think there’s a systemic bias in [the BBC being] anti-Israel – there are loads of arguments that suggest almost the opposite,” he said. Shah also denied claims that the board was politicised, adding that people had “a fanciful notion of what happens” there. *** Where was the BBC’s fightback? The BBC stalled in its initial response to the Telegraph reporting of the Prescott letter, and when it did come, Davie did not seem to offer much in the way of defending the BBC’s editorial independence. “We’re told there were people inside the BBC who wanted to be more front-footed – to acknowledge issues with the editing of Trump’s speech, but to push back against the wider claims of systemic bias that Prescott was making,” says Michael. But that didn’t happen. In her excellent analysis of the situation, Jane Martinson, the Guardian’s former head of media, said the BBC ended up looking “weak and cowardly, just when it needs to be robust and brave”. Turness has defended those she worked with in Broadcasting House, saying on Monday: “BBC News is not institutionally biased. Our journalists are hard-working people who strive for impartiality, and I will stand by their journalism. Mistakes are made, but there’s no institutional bias.” It may just be that years and years of the drip, drip, drip of criticism from the likes of the Mail and Telegraph has simply reduced the BBC management’s broader appetite for the fight – especially with Johnson’s insiders fighting their culture war from within. *** Where does this leave the government ahead of charter renewal negotiations? This all comes at the worst possible time. With charter renewal looming in 2027, the BBC is rudderless and leaderless just as the government has to start deciding how it is funded and what its purpose should be. A BBC with reduced funding and a smaller national footprint has clearly been an aim of the right for some while. Michael says this poses a question for the government: “With Reform UK continuing to rise in the polls, and political attacks on the BBC increasing, will the government decide it needs to defend and protect the corporation’s independence in this increasingly hostile environment?” The risk of Labour leaning into a populist anti-BBC sentiment is unlikely: it would be seismic, he tells me, for the government to scrap the licence fee. “If you want a BBC that makes programmes for everyone – left and right, young and old, news, drama, radio, children’s TV – then you need the licence fee or something very much like it.” BBC staff may have been heartened by the firm tone from Downing Street yesterday, where the prime minister’s spokesperson said there was “a clear argument for a robust, impartial British news service to deliver, and that case is stronger than ever”, dismissing Trump’s typically bombastic accusation that the BBC is harbouring “corrupt journalists”. Less encouragingly, the BBC confirmed it has received a letter from the US president threatening a legal case, which could prove costly to settle. According to reports, Trump appeared to be floating the figure of “no less” than $1bn (£760m). *** Who would want to take this ‘impossible job’ now? The BBC should have spent the weekend basking in the glow of the huge zeitgeist-seizing success of Celebrity Traitors. Instead it finds itself in a crisis partially of its own making. “The role of director general is becoming hugely constitutionally important,” Michael says. “Whoever gets that job will have a major say in big national conversations. The BBC also has a big role in combating misinformation and disinformation, and trying to hold the ring, as it were, on what is true and what isn’t in a very divided media landscape. “These massive jobs are vacant, and they are incredibly difficult jobs to do. Two experienced people have concluded they couldn’t continue. It’s down to the board to make the appointment, but there will be political pressure from various directions.” He continues: “It’s an absolutely crucial decision. So you need someone with experience, a big figure who can handle those issues and the ongoing political pressure. Does such a person exist? It’s going to be very hard to find them in these circumstances and with this level of scrutiny.” What else we’ve been reading Alessandro Gandolfi’s photo essay about the Netherlands (pictured above), explores how the growing climate crisis and rising seas has led the watery country to embrace it with modern, sustainable floating houses. Karen Among the perils of the digital age are the increasing prevalence of romance scams. Anna Moore hears the heartbreaking – and expensive – details from those who have fallen foul of fake love, and offers tips on how to stay safe. Martin Dr Rachel Clarke, an NHS palliative medicine specialist, has witnessed first-hand the human tragedy of the end-of-life care crisis. While the government debates assisted dying, palliative care should be more than an afterthought, she says. Karen. It is refreshing to see someone come straight out with it – Dazed have an interesting profile of Anemone director Ronan Day-Lewis, who admitted to interviewer Nick Chen that getting to make a film with his dad is “obviously nepotism”. Martin After his massive victory at the New York City mayoral elections last week, this explainer examines how new mayor Zohran Mamdani might tackle the daunting task of paying for his bold agenda of rent freezes, free buses and universal childcare. Karen Sport Racing | Lando Norris (pictured above) has played down title expectations having taken a 24-point world championship lead after the São Paulo Grand Prix. Football | After five defeats in six matches, Andrew Robertson admits Liverpool face a “huge uphill battle” to retain their title. Cricket | England’s men’s team have all arrived in Australia ahead of the Ashes, but questions linger over their preparations. The front pages The Guardian leads with “BBC board member with Tory link ‘led the charge’ over claims of bias”. The Financial Times says “Trump issues threat to sue BBC for more than $1bn over edited speech”, while the Telegraph goes with “Trump to sue BBC for $1bn”. Top story in the Mail says “Trump tells BBC: Grovel – or I’ll sue you for $1billion”, while the Sun leads with “Beeb’s billion dollar bungle” and the Times has “BBC is told: Say sorry or Trump will sue for $1bn”. The i paper examines what might come next, with “Future of the BBC license fee in jeopardy as Trump threatens $1bn legal action”. “We told the kids everything … the good &amp;amp; the bad” – that was the Mirror on the Prince and Princess of Wales dealing with family health issues. Today in Focus Why Trump is threatening to sue the BBC for $1bn The broadcaster’s director general and head of news resigned on Sunday night. But were unforgivable mistakes made or were they victims of an internal coup? Michael Savage reports Cartoon of the day | Ben Jennings The Upside A bit of good news to remind you that the world’s not all bad Two decades ago, Portsmouth city council defied funding cuts to save its youth and play centres – and the positive impact on children and young people’s lives has become astonishingly clear. Consider Buckland adventure playground, one of six in Portsmouth, which is a feeder for a nearby youth club and is surrounded by social housing. Molly Webb, 22, described it as being a “second home”, when she was growing up, a place “full of magical memories”, and she now brings her four-year-old son there. Centres like these are disappearing in other coastal towns that have high levels of deprivation, reports Karen McVeigh in this in-depth piece for the series Against the tide. But Portsmouth has seen the payoffs, and not only for the children in the neighbourhood. The playground’s manager Nicky Andrews said she loves her work so much they’ll have to “carry me out of there in a box”. Sign up here for a weekly roundup of The Upside, sent to you every Sunday Bored at work? And finally, the Guardian’s puzzles are here to keep you entertained throughout the day. Until tomorrow. Quick crossword Cryptic crossword Wordiply</x:v>
      </x:c>
      <x:c r="I27" s="12" t="str"/>
      <x:c r="J27" s="12" t="str"/>
    </x:row>
    <x:row r="28" ht="110" customHeight="1">
      <x:c r="A28" s="12" t="n">
        <x:v>25</x:v>
      </x:c>
      <x:c r="B28" s="12" t="str">
        <x:v>NEWS-guardian_api-7cf057334d25</x:v>
      </x:c>
      <x:c r="C28" s="12" t="str">
        <x:v>When and how will I get a Covid vaccine in the UK?</x:v>
      </x:c>
      <x:c r="D28" s="12" t="str">
        <x:v>https://www.theguardian.com/world/2021/jan/18/when-how-will-i-get-covid-vaccine-uk</x:v>
      </x:c>
      <x:c r="E28" s="12" t="str">
        <x:v>data/raw/news/text/NEWS-guardian_api-7cf057334d25.txt</x:v>
      </x:c>
      <x:c r="F28" s="12" t="str">
        <x:v>data/raw/news/text/NEWS-guardian_api-7cf057334d25.txt</x:v>
      </x:c>
      <x:c r="G28" s="12" t="n">
        <x:v>8437</x:v>
      </x:c>
      <x:c r="H28" s="12" t="str">
        <x:v>When and how will I be able to get a Covid vaccine? The government’s Joint Committee on Vaccination and Immunisation (JCVI) says its priority is to prevent Covid-related deaths and protect health and social care staff and systems. Elderly care home residents and their carers are first on the JCVI’s list because their risk of exposure to the virus is higher and because the risk of death closely correlates with older age. They are followed in priority by anyone else over 80 and frontline health and social care workers. Next come those aged 75 and over, then those aged 70 and over – plus clinically extremely vulnerable individuals. The goal is for everyone in these groups to have been offered a first vaccine dose by 15 February, with second doses to be given up to 12 weeks later. However, Public Health England’s head of immunisation has said that if infection data showed vulnerable groups, such as the over-80s, were well protected by their first shot, then second doses could be delayed to get a first jab to younger people as well. Next in line to be vaccinated is everyone over the age of 65, then those aged 16-64 who are at high risk of serious illness or death from Covid-19 because of underlying health conditions. After this, vaccinators will incrementally work their way down the age groups until everyone over 50 has received a jab. The second group comprises 17 million people across the UK, which would take a further seven weeks to Easter on 4 April if the target of 2m jabs a week is achieved. Together, the above groups are estimated to represent 99% of preventable deaths from Covid-19. The second phase of vaccination is likely to target those at higher risk of occupational exposure and/or delivering key public services, including teachers and transport workers – although the JCVI hasn’t yet decided which of these groups to prioritise. The rest of the adult population is expected to have been offered a jab by the autumn. Will there be enough doses? The UK has ordered 100m doses of the Oxford/AstraZeneca vaccine, which is enough to inoculate 50 million people. Combined with the 40m doses of Pfizer/BioNTech vaccine, this should be enough to cover the entire UK population – although the government has also ordered 17 million doses of the recently approved Moderna vaccine. Who has decided the vaccine is safe to use, and what checks have been carried out? Trials of the vaccine have happened at breakneck speed, but this doesn’t mean any of the usual regulatory steps have been missed out. Usually, companies would wait for all the data from safety and efficacy trials to amass, before submitting it to regulators in one go. But such is the urgency of the situation that a dedicated team at the Medicines and Healthcare products Regulatory Agency (MHRA) has been conducting a “rolling review” of the data as and when it becomes available from continuing studies. In order for its vaccine to be approved, Pfizer will have had to submit data from preclinical studies and from continuing clinical trials of the vaccine, involving 43,000 people to date; manufacturing and quality control assessments; and plans for the safe supply and distribution of the vaccine. Scientists from the National Institute for Biological Standards and Control will also have conducted independent tests on batches of the vaccine to ensure they meet the expected safety and quality standards. It doesn’t stop there. Once the vaccine starts being rolled out health workers must report any adverse event that they or a patient are concerned about. These events will be carefully investigated by the MHRA to determine whether they are likely to have been caused by the vaccine, or are a coincidence. If there is any doubt about the vaccine’s safety, the MHRA could issue a warning not to give it to certain groups, or even withdraw it if necessary. Should I contact my GP/pharmacist? No. Particularly while Covid cases remain high, it is important that people don’t make unnecessary journeys to their GP surgery or place extra demand on phone services such as NHS 111. The NHS will contact people individually once it is their turn to be vaccinated and provide full details of where they should go and what they need to do in order to receive the vaccine. Where will I go for the vaccine? Covid-19 vaccines are being delivered at three types of venue: NHS trust “vaccine hubs” at hospital sites; mass vaccination centres at places such as football stadiums, conference buildings and racecourses – these are expected to vaccinate up to 2 million people a week; and at GP surgeries and pharmacies. GPs can also visit care home residents and housebound patients at home without them needing to travel. Given the freezer requirements of the Pfizer/BioNTech jab, it is unlikely this will be used at the mass vaccination centres or GP surgeries/pharmacies, at least initially. The Oxford/AstraZeneca vaccine is easier to deliver at these sites, because it can be stored and transported at normal refrigerated temperatures of 2C to 8C. Who will administer it? The NHS is overseeing the mass vaccination programme, with GPs and others given training to handle and administer the new jab, including retired doctors, pharmacists, district nurses, health visitors and physiotherapists. Those from outside the NHS who are being targeted for recruitment as vaccinators include airline cabin crew, firefighters and people who are unemployed. They will be paid £11.20 an hour, according to an internal NHS briefing paper. How far apart will the two doses be administered, and will I be protected after the first? While there is some evidence to indicate high levels of short-term protection from a single dose of vaccine, a two-dose schedule is what has been approved by the MHRA. The original plan was to offer priority groups an initial shot of vaccine, followed by a second dose three weeks later. But a rapid increase in the number of Covid-19 cases, combined with the emergence of a more transmissible variant and uncertainty about the supply of vaccine stocks, prompted the JCVI to consider other options. It calculated that it could get a first shot of vaccine into more arms faster if it pushed back administration of the second dose to 12 weeks afterwards – by which time it is hoped that far more doses of vaccine will become available. For the Pfizer vaccine, the impact of stretching out the two doses hasn’t been tested in clinical trials. Pfizer cautioned that its trial only investigated giving two doses 21 days apart – far less than 12 weeks. But evidence increasingly suggests that spacing out doses of the AstraZeneca/Oxford vaccine may be more effective at protecting people. The main risk is that people’s level of immunity falls before they receive their second dose, putting them at risk of Covid-19 – although this risk would still be lower than if they’d received no vaccine, and would be boosted when they eventually received their second shot. However, a consensus statement by the British Society for Immunologists said that delaying the booster dose by eight or nine weeks was unlikely make much difference in the longer term. Can I pay to get the vaccine privately? Unlikely. England’s deputy chief medical officer, Jonathan Van-Tam, has said he believes Covid-19 vaccines should be delivered according to clinical priority rather than allowing people to jump the queue if they can afford it. Although manufacturers could choose to sell their vaccines to private suppliers, Pfizer has said its focus is on delivering the vaccine to the NHS, in line with its agreement with the government. Will I be able to choose which vaccine I have? Also unlikely, at least in the short to medium term. The priority will be distributing any available doses to the people who need them as quickly as possible. Other vaccines may become available at different times, but these won’t necessarily be delivered at the same locations, owing to the different storage requirements and shelf lives of the various vaccines. So even if you were allowed to pick and choose, alternatives might not be available. Due to the unprecedented and ongoing nature of the coronavirus outbreak, this article is being regularly updated to ensure that it reflects the current situation as well as possible. Any significant corrections made to this or previous versions of the article will continue to be footnoted in line with Guardian editorial policy.</x:v>
      </x:c>
      <x:c r="I28" s="12" t="str"/>
      <x:c r="J28" s="12" t="str"/>
    </x:row>
    <x:row r="29" ht="110" customHeight="1">
      <x:c r="A29" s="12" t="n">
        <x:v>26</x:v>
      </x:c>
      <x:c r="B29" s="12" t="str">
        <x:v>NEWS-guardian_api-87c983cdc10f</x:v>
      </x:c>
      <x:c r="C29" s="12" t="str">
        <x:v>The going of Cummings seems not to be the triumph he expected</x:v>
      </x:c>
      <x:c r="D29" s="12" t="str">
        <x:v>https://www.theguardian.com/politics/2020/nov/13/the-going-of-cummings-seems-not-to-be-the-triumph-he-expected</x:v>
      </x:c>
      <x:c r="E29" s="12" t="str">
        <x:v>data/raw/news/text/NEWS-guardian_api-87c983cdc10f.txt</x:v>
      </x:c>
      <x:c r="F29" s="12" t="str">
        <x:v>data/raw/news/text/NEWS-guardian_api-87c983cdc10f.txt</x:v>
      </x:c>
      <x:c r="G29" s="12" t="n">
        <x:v>8542</x:v>
      </x:c>
      <x:c r="H29" s="12" t="str">
        <x:v>The usual maxim for political advisers is a simple one: you go when you become the story. For Dominic Cummings, inevitably, the rules are a little different. During the Barnard Castle affair, in the face of popular disgust and days of disastrous headlines, he clung on to his job. Until Friday night, that is. Now somebody else will become Boris Johnson’s best known adviser. Uncharacteristically for Downing Street press briefings, the source for this news had a name. “My position hasn’t changed since my January blog,” Cummings told the BBC’s Laura Kuenssberg on Thursday night, referring to the lengthy online post in which he said that he intended to be “largely redundant” within a year. But while his leaving may technically adhere to that declaration, it could hardly be said to follow its spirit. The condition of his redundancy, as he explained it then, was nothing less than a transformation in how Downing Street works, a revolutionary replacement of stuffed shirts and mandarins with “weirdos and misfits”. That change would simply free him up to focus on the decisions that lay within his “circle of competence”, not quit altogether. Instead, coronavirus happened. And the inciting incident for Cummings’ exit appears to be not his own triumph – but the arrival of a new press secretary. “He’s nowhere near done,” said Jill Rutter, senior fellow at the Institute of Government. “Yes, he’s chopped off the heads of quite a few civil servants, but he’s replaced them with fairly conventional people, by and large. And if you want to be a serious government reformer, you don’t go after a year. Even if you’ve planted the seeds, you don’t know if anybody else is going to water them.” Those who are sceptical that Cummings was ready to go point to the fact that he only took up his place in a grandly titled “mission control” centre in the Cabinet Office in September. “It hardly seems plausible to suggest that the aim was to set up the office and barely sit in it,” one former minister said. Many backbenchers are pleased to see Cummings leave – with the 1922 Committee vice-chair Charles Walker telling the BBC: “There has been unhappiness about the No 10 operation for some time. Members of parliament have felt excluded from the decision-making process, and that’s no secret.” But the former minister expressed dismay at the fact that Boris Johnson had stood by his man after the Guardian and Daily Mirror revealed in May that he had broken lockdown guidelines to visit his parents in Durham – only for Cummings to leave within six months regardless. In the aftermath of that story, confidence in the government in England plummeted, a major Lancet study found. Senior police leaders reported that those breaking lockdown would often cite Cummings when confronted by officers. “To think of the bridges burned and the damage done in the service of keeping this one rather brutal individual in a job, and to think that he is now leaving anyway, is just astonishing,” the former minister said. “It confirms what we have known for a long time: Boris only knows what he wants to do for the next 10 minutes. There is no serious plan.” Other have noted that the abrasive approach Cummings has exulted in – and the accompanying lack of alliances outside of his closest circle – may have finally cost him. As the backbencher Andrew Bridgen said earlier this year: “They say if you want a friend in politics, get a dog – well, Cummings would kick the dog as well.” James Graham, author of the Channel 4 drama Brexit: the Uncivil War, which starred Benedict Cumberbatch as Cummings and arguably cemented him in the public imagination, suggested that his subject might have met the limits of his ruthless style. “He’s a curious mix politically of the sophisticated and the thuggish, which I think is what Benedict tried to play,” he said in an email. “Winning a campaign that has a start and an end point is one thing. A campaign is a fight. But government can’t be a constant fight … I suspect against the backdrop of a pandemic, the party, and even the public’s appetite for politics that divides and provokes rather than unites and soothes has worn increasingly thin.” The events that finally forced Cummings out are more office politics than ideological struggle. They began with the appointment of Allegra Stratton as the prime minister’s new press secretary. They accelerated as a move to install Cummings’ ally Lee Cain to a new position as No 10 chief of staff was thwarted, apparently at the behest of Johnson’s fiancee, Carrie Symonds – a sequence of events that ended in Cain’s departure. Stratton is said to have advocated a less confrontational style in dealing with the press than the venomous off-the-record briefings which have been the norm in the Cummings-Cain era – and is expected to demand a direct route to the prime minister, rather than working through his senior advisers. Johnson, for his part, also wants to turn the page on the “culture war” that has become his government’s dominant mode of engagement on subjects other than the pandemic. “[Cain and Cummings’] downfall was their failure to work through a pretty easy piece of logic that if you appoint somebody to be the prime minister’s public face, they will require a lot of access to the prime minister,” said Rutter. “Nobody taking that job would put their reputation on the line repeating whispers permeating through a couple of layers of people who do get access – and if you couldn’t see that coming you are nuts.” A former adviser to Theresa May argued that Cummings’ style had built “high-functioning and loyal” units throughout his campaigning career, and that “sometimes you can build really strong teams by doing that Alex Ferguson ‘us against the world’ thing”. But, they added, “maybe part of the reason he’s going is that he can see that that is beginning to fracture”. The adviser said that a confrontational approach “can work in a campaign, but in the daily grind of government, you’re bound to need quite a transactional relationship with the media”. And with MPs widely celebrating the news of Cummings’ exit, they added drily: “[The minority May government] was always going to have problems with party management. What is interesting, without any schadenfreude, is that they are having some of the same problems with a majority of 80.” If his redundancy does mark the end of his career on the political frontline, “nobody can doubt that Cummings has been consequential”, said Polly Mackenzie, chief executive of the thinktank Demos and director of policy for Nick Clegg during the coalition. Few dispute that “Take Back Control” and “Get Brexit Done” were among the most ruthlessly effective political slogans of the era, and, as a campaign mastermind, even Cummings’ opponents view him with grudging respect. “The reality is that he was extremely effective persuading people to vote leave,” Craig Oliver, David Cameron’s director of communications, told the BBC. “He was also extremely effective in the last election, there are real achievements to him.” But, said Mackenzie: “He’s just not suited to government, and the enormous complexity of the centre of it, where you have to keep 93,000 plates spinning. There is a place for mavericks, and they’re completely essential. But Dominic is just wrong about what that place is.” Cummings could also be contrasted to the model set out by Mario Cuomo, governor of New York from 1983 to 1994, who said that “you campaign in poetry; you govern in prose”. It is one of the idiosyncrasies of Cummings that he campaigned in three-word slogans, and governed in lengthy blogposts that almost nobody could understand. As Graham said: “He can write a 5,000-word thesis on the applicability of the Apollo space programme to civil service reform, and yet this is the also the author of ‘Get Brexit Done’ – which is the rhetorical equivalent of a shrug and middle finger.” With his revolution unfinished, and the special advisers who were once told “I’ll see half of you next week” now able to dream of a calmer working environment, the question of Cummings’ legacy remains open. “It will depend on the prime minister,” said Rutter. “How much of this was [Cummings’] agenda, and how much of it was Boris Johnson’s? Or did this all just hang on Cummings’ sheer personal chutzpah?” If the answer to that question is yes, his time in government may soon seem more like a blip than a rupture. That outcome would mean the unlikeliest epitaph of all: in the end, Dominic Cummings was just another adviser.</x:v>
      </x:c>
      <x:c r="I29" s="12" t="str"/>
      <x:c r="J29" s="12" t="str"/>
    </x:row>
    <x:row r="30" ht="110" customHeight="1">
      <x:c r="A30" s="12" t="n">
        <x:v>27</x:v>
      </x:c>
      <x:c r="B30" s="12" t="str">
        <x:v>NEWS-guardian_api-88e751d96451</x:v>
      </x:c>
      <x:c r="C30" s="12" t="str">
        <x:v>'I feel genuinely sad' – European postgrads discuss Brexit</x:v>
      </x:c>
      <x:c r="D30" s="12" t="str">
        <x:v>https://www.theguardian.com/education/2016/nov/09/i-feel-genuinely-sad-european-postgrads-discuss-brexit</x:v>
      </x:c>
      <x:c r="E30" s="12" t="str">
        <x:v>data/raw/news/text/NEWS-guardian_api-88e751d96451.txt</x:v>
      </x:c>
      <x:c r="F30" s="12" t="str">
        <x:v>data/raw/news/text/NEWS-guardian_api-88e751d96451.txt</x:v>
      </x:c>
      <x:c r="G30" s="12" t="n">
        <x:v>3051</x:v>
      </x:c>
      <x:c r="H30" s="12" t="str">
        <x:v>The impact of the Brexit vote on higher education is too early to call. While the strength of the UK economy and the reputation of its universities are an attraction for overseas students, there is strong anecdotal evidence that the recent Brexit vote is sending a negative message and may even be deterring some European students from studying masters’ degrees in the UK. Some fear that British universities could become increasingly isolationist. “I feel genuinely sad. We all live together on one planet and now the UK wants to leave Europe to strike out on its own. This is a vote against globalisation,” says Freddy Brandis, 24, from Germany, who recently graduated with a master’s degree in international management from the London School of Economics (LSE). With dual German and Italian nationality, Carlo Durbeck, 25, also graduated from the LSE this summer. He is now working for a City investment bank. “A lot of my French and Italian friends studied their master’s in the UK because graduate job prospects in those countries are not so bright. Now the possibilities of getting a British job are reduced and most have returned home,” he says. Despite the initial shock of the referendum vote, Carlo is philosophical. “A postgraduate degree from an internationally renowned university like the LSE will continue to attract Europeans. Because the exchange rate is in their favour they will save a lot of money on fees. And because the UK is still in the European Union there will be no immediate change in the short term,” he says. Parity of fees and the £10,000 postgraduate loans, to which EU students are also entitled, will continue until the UK finally leaves the EU, possibly in 2019. Until that time, the government is pledged to continue supporting university research, currently funded under the EU’s Horizon 2020 scheme. So far, there has been no slowdown in the numbers of EU postgraduates entering UK institutions. At the University of Sheffield, for example, there are 230 taught master’s students from across Europe and 320 research PhDs. “Numbers of EU postgraduates are holding up because the current cohort will have decided on their course of study before the result of the UK referendum was known. The true effect of Brexit will not be seen until the beginning of the next recruitment cycle, which starts around now,” says Tony Strike, Sheffield’s director of strategy, planning and change. That said, Sheffield moved fast to reassure its EU postgraduates they were still a valued part of the academic community. “After the Brexit result we sent a tailored message to our postgraduates, setting out the university’s position that we are and will remain an international campus. We launched an ongoing campaign of Twitter feeds, faculty and student events called #We Are International,” says Strike. In numbers 158,265 Number of overseas postgraduate students in the UK in the 2014-15 academic year 46,230 Number of postgraduate students from the EU studying in the UK in the 2014-15 academic year Source: HESA Student Record</x:v>
      </x:c>
      <x:c r="I30" s="12" t="str"/>
      <x:c r="J30" s="12" t="str"/>
    </x:row>
    <x:row r="31" ht="110" customHeight="1">
      <x:c r="A31" s="12" t="n">
        <x:v>28</x:v>
      </x:c>
      <x:c r="B31" s="12" t="str">
        <x:v>NEWS-guardian_api-8a849cd56bab</x:v>
      </x:c>
      <x:c r="C31" s="12" t="str">
        <x:v>Greece registers highest daily death toll – as it happened</x:v>
      </x:c>
      <x:c r="D31" s="12" t="str">
        <x:v>https://www.theguardian.com/world/live/2020/nov/08/coronavirus-live-news-france-daily-cases-exceed-40000-melbourne-ends-ring-of-steel</x:v>
      </x:c>
      <x:c r="E31" s="12" t="str">
        <x:v>data/raw/news/text/NEWS-guardian_api-8a849cd56bab.txt</x:v>
      </x:c>
      <x:c r="F31" s="12" t="str">
        <x:v>data/raw/news/text/NEWS-guardian_api-8a849cd56bab.txt</x:v>
      </x:c>
      <x:c r="G31" s="12" t="n">
        <x:v>61441</x:v>
      </x:c>
      <x:c r="H31" s="12" t="str">
        <x:v>We’ve launched a new version of the global coronavirus liveblog – head to the link below for the latest: Brazil registered 128 new coronavirus deaths on Sunday and 10,554 further infections, according to official data. Since the start of the pandemic, 162,397 people have died in Brazil and more than 5.66 million have been infected with the virus, the data shows. The latest figures come amid polls showing Jair Bolsonaro’s support falling in some of the country’s biggest cities. Footballer and campaigner Marcus Rashford has forced the UK government into yet another U-turn after weeks of refusing to extend free school meals over school holidays amid the pandemic. Boris Johnson pledged a package including a £170m Covid winter grant scheme to support vulnerable families in England and an extension of the holiday activities and food programme to the Easter, summer and Christmas breaks next year. Haroon Siddique reports on the latest policy switch here. Support for Brazilian far-right president Jair Bolsonaro has dropped in some of the country’s biggest cities, surveys showed on Sunday, suggesting a previous bump may be short-lived as the country still grapples with a brutal coronavirus outbreak. Previous polls have shown a rise in the former army captain’s support, despite what is widely seen as his poor handling of an epidemic that has now killed more than 160,000 Brazilians. Now, a new poll, undertaken at the start of November and published in the Folha de S.Paulo newspaper, his support in Sao Paulo fell to 25% from 29%, while in Belo Horizonte it fell to 35% from 40%, compared with a previous poll taken 21-22 September. The margin of error was 3 percentage points, it said. In Recife and Rio de Janeiro, polls showed his support remaining stable. Meanwhile, a separated compilation of data by pollster Ibope, collated by the G1 website, showed on Sunday that Bolsonaro’s support has fallen in seven state capitals. The largest drops in support occurred in the cities of Salvador and Rio Branco, in which Bolsonaro’s popularity fell by 7 percentage points. EU chief negotiator Michel Barnier has arrived in London as post-Brexit negotiations continue with the UK government, wearing a face mask embossed with the EU flag. “Very happy to be back in London and work continues,” he told Reuters when he arrived by train. The coronavirus pandemic had a devastating effect on Italy in the spring – now, as the country fights back the virus’s second wave, thousands of small villages are “fighting to stay alive”, Lorenzo Tondo writes. Set among the forests at the foot of Mount Kalfa, Roccafiorita is the smallest village in southern Italy. The average age of its 187 inhabitants is over 60. If Covid were to spread among the population, the village could disappear. “I’m worried,” 93-year-old Salvatore Occhino said. “If Covid strikes hard, there will be no one left in Roccafiorita. My heart cries out when I think of all the sacrifices we’ve made to keep this village alive. Now we can only place ourselves in the Lord’s hands.” Lorenzo Tondo reports from Roccafiorita: Melbourne’s “ring of steel”, which kept the city separate from the rest of Victoria, is set to lift at 11.59pm on Sunday. Regional areas had been off-limits to Melburnians for months as the city lagged behind in its second wave fight with Covid-19, but the border will now be opened after the city recorded nine consecutive days without a new case. “We know that so many people have missed those that they love the most, those who they need to see, been desperately keen to see, for such a long period of time,” Premier Daniel Andrews told reporters. Measures will be relaxed, including: The 25km travel limit will be scrapped Hospitality venues can now host up to 70 customers outdoors and 40 indoors A maximum of 20 people will be allowed in gyms, libraries, community centres, galleries, museums and cinemas Aged care residents are able to have visitors from one household per day for two hours Partners can visit maternity wards indefinitely A former sports minister has urged the UK government to soften its ban on outdoor sports, saying the current rules do not make sense. Under national lockdown restrictions for England, outdoor sports including children’s sports outside of school settings have been shut down until 2 December. On Sunday Tracey Crouch, a former Conservative frontbencher, called for compromises on the policy. The MP told BBC Radio 4’s the Westminster Hour: “I appreciate that some might think it’s just a month, but actually a month is a long time when for many people, sport is as much about therapy as it is about their own physical health. “And for youngsters, a month is an exceptionally long time. There certainly could have been compromises made. There’s no reason why you can’t just suspend competition but allow for training to continue. “Then there are socially distanced sports in themselves. To me that doesn’t make any sense.” Here’s a quick round-up of recent events. The number of coronavirus cases worldwide has passed 50 million, according to the Johns Hopkins University tracker, which shows that the US, India and Brazil have the highest figures. More on that here. France reported a further 38,619 coronavirus cases on Sunday, bringing the country’s total to 1,787,324. It follows a record daily increase on Saturday, when a staggering 86,852 cases were logged. Algeria’s president, Abdelmadjid Tebboune, has responded well to coronavirus treatment after being hospitalised 13 days ago. Greece has reported a record daily rise of 35 coronavirus deaths, and 1,914 new cases of the virus. The authorities announced 34 deaths on Saturday. Hundreds of protesters gathered in central Manchester on Sunday to object against the national lockdown in England, resulting in four arrests and several fines. Italy has registered 32,616 new coronavirus infections over the past 24 hours, the health ministry said on Sunday, down from 39,811 on Saturday. The US Centers for Disease Control and Prevention (CDC) reported a further 93,811 coronavirus cases on Sunday, bringing the total to 9,808,411. It follows a string of record figures, with the country tallying more than 100,000 new cases for four consecutive days. The UK has reported 20,572 new infections and 156 deaths, taking the country’s caseload to 1,192,013 and its official toll to 49,044. New York governor Andrew Cuomo has said he thinks Joe Biden’s election will be a turning point in America’s battle against Covid-19. “I think you’ll see a different tone now. I think you’ll even see some governors start to take a different tone now that Mr Trump is out of office,” Cuomo said on ABC’s This Week on Sunday. “I think the political pressure of denying Covid is gone. I think you’ll see scientists speak with unmuzzled voice now. And I think the numbers are going to go up and Americans are going to get how serious this is.” The second wave of the Covid-19 pandemic in the UK is bringing a new tide of homelessness to a small square outside Charing Cross police station in London. “There’s a lot of new faces,” said Jas Bhogal, a volunteer, while he handed out free gloves, hats and masks to a long queue of rough sleepers as temperatures dropped last week. “Employees that worked in the hospitality businesses, those that didn’t get furloughed, ended up on the street and came to use this service,” he said. The demand is so high that three other charity food drops are operating at the same time as Bhogal’s Sikh Welfare and Awareness Team. You can read Robert Booth’s report about the pandemic’s impact on homelessness here. Four people were arrested and a number of officers were injured at Manchester’s anti-lockdown protest, Greater Manchester Police have said in a statement where they strongly condemned the gathering of more than 600 demonstrators. Assistant chief constable Mabs Hussain said: “Today, Greater Manchester police responded to a large gathering in Piccadilly Gardens, Manchester city centre. At the peak of the gathering, in excess of 600 people were in attendance. “I would like to use this opportunity to publicly condemn this gathering. Both the organisers and attendees were irresponsible – increasing demand on police who are also responding to calls regarding serious incidents and people who are in immediate danger across Greater Manchester. “Before and during this gathering, officers followed guidance to engage with the organiser and attendees, explain the restrictions and encourage compliance. Unfortunately, the encouragement was ignored, which resulted in officers progressing to enforcement.” Officers arrested four people on suspicion of public order offences and issued 24 £200 fixed penalty notices at the protest, he said, adding that police are looking to issue an FPN to the organiser. Police have learned that one group travelled to the protest from Cumbria via coach, Hussain said, explaining that the driver and coach company have since been reported to the regulator. He added: “Whilst responding to this gathering, a number of officers were injured. This is unacceptable behaviour towards officers who were simply doing their job and protecting people. Investigators will now work to identify those responsible and ensure they face justice. “I would also like to remind members of the public that these restrictions are to control the spread of Covid-19 and protect everyone – including you and your loved ones as well as the NHS. I encourage you to do your bit to fight the virus by complying with the restrictions and staying at home.” France reported a further 38,619 coronavirus cases on Sunday, bringing the country’s total to 1,787,324. It follows a record daily increase on Saturday, when a staggering 86,852 cases were logged. The health ministry also announced 271 more coronavirus patients had died in the country’s hospitals, down from 306 on Saturday. Greece has reported a record daily rise of 35 coronavirus deaths, and 1,914 new cases of the virus. The authorities announced 34 deaths on Saturday. It brings the country’s coronavirus death toll to 734 and the total number of confirmed cases to 56,698. The AP bureau chief for south-east Europe has this breakdown of the cases: The US Centers for Disease Control and Prevention (CDC) reported a further 93,811 coronavirus cases on Sunday, bringing the total to 9,808,411. It said the number of deaths had risen by 1,072 to 236,547. The CDC figures do not necessarily reflect cases reported by individual states. It follows a string of record figures, with the country tallying more than 100,000 new cases for four consecutive days. Nigel Farage and his allies have relaunched their political party, encouraging people to walk past their local war memorial on Remembrance Sunday in a low-key anti-lockdown protest that marks a fresh attempt to restore its political relevance. The leaders of the Reform UK party, formerly the Brexit party, hope to occupy a political space until now dominated by a few rebel Conservatives at Westminster and conspiracy theorists on the streets and online. A further 122 people have died in hospital in England after testing positive for the coronavirus, bringing the total number of confirmed deaths reported in hospitals to 34,496, NHS England said on Sunday. Patients were aged between 44 and 98. All except four, aged between 61 and 95, had known underlying health conditions. The deaths occurred between 15 October and 7 November. Some photos from Sunday’s anti-lockdown protest in Manchester: Italy has registered 32,616 new coronavirus infections over the past 24 hours, the health ministry said on Sunday, down from 39,811 on Saturday. The ministry also reported 331 Covid-related deaths, down from 425. The number of swab tests carried out, however, was also lower than Saturday’s count. A total of 41,394 people have died of Covid-19 in Italy, which has registered 935,104 infections since the start of its outbreak. Hundreds of protesters gathered in central Manchester to object against the national lockdown in England. People started to gather in Piccadilly Gardens from around 1pm with numbers swelling as the day went on. Social media footage showed hundreds of people, many of them carrying placards, protesting against the government’s decision to impose a second national shutdown. There appeared to be little social distancing and few protesters were wearing masks as they chanted “rise up” and “freedom”. Police vehicles and officers remained nearby but appeared not to intervene. Greater Manchester police did, however, issue a dispersal order and urge people to leave. A spokesperson said: “Greater Manchester police is aware of a large gathering in Piccadilly Gardens, Manchester city centre and officers are in attendance. “Prior to this gathering, officers engaged with the organiser; explained the restrictions; and encouraged compliance and are continuing to do so. “Under the Anti-social Behaviour, Crime and Policing Act 2014, a Section 34 Dispersal Order has been authorised for Manchester City Centre until 6.45pm today [Sunday 8 November 2020]. This means members of the public must not gather in the area. Failure to comply is a criminal offence.” Pat Karney, Manchester city council’s spokesman, condemned protesters. “I can completely condemn this disgraceful gathering in Piccadilly Gardens. These people should check out the ambulances going in and out of our hospitals at the moment to see the massive health crisis we are all facing,” he said. “If you disagree with the restrictions, write to your MP but don’t endanger people’s health.” The number of coronavirus cases worldwide has passed 50 million, according to the Johns Hopkins University tracker, which shows that the US, India and Brazil have the highest figures. A total of 50,052,204 infections have been reported around the world. The US has the highest number of infections, with 9,879,323, followed by India with 8,507,754 and Brazil which has reported 5,653,561. Russia has registered the fourth highest number of cases (1,760,420) while France’s total stands at 1,709,773. It comes as a Reuters tally calculated that October was the worst month of the coronavirus pandemic so far, with its second wave in the past 30 days accounting for a quarter of all cases. The last month saw the spread of the virus accelerate at a rapid pace: while it took 32 days for cases to rise from 30 million to 40 million, it only took 21 days to add another 10 million. The bleak milestone follows the US reporting more than 100,000 new cases on four consecutive days. The country broke its own record for daily cases nearly every day this week. Europe has also greatly contributed to the global surge in cases. The region has reported around 12 million infections, making it the worst-affected region, overtaking Latin America. It also makes up almost a quarter (24%) of coronavirus deaths. A Reuters analysis has shown Europe is tallying around one million new coronavirus roughly every three days. The second wave has recently seen governments across Europe tighten restrictions and impose new lockdowns, with shutdowns ordered in England, France, Germany and Greece. The global death toll stands at 1,253,110. The US, Brazil and India have recorded the most fatalities, followed by Mexico and the UK. Nurses in England will be allowed to look after two critically ill Covid-19 patients at the same time after NHS bosses relaxed the rule requiring one-to-one treatment in intensive care as hospitals come under intense strain. NHS England has decided to temporarily suspend the 1:1 rule as the number of people who are very ill in hospital with Covid has risen to 11,514, of whom 986 are on ventilators. The move comes as concern grows that intensive care units, which went into the pandemic already short of nurses, are being hit by staff being off sick or isolating as a result of the coronavirus. Read Denis Campbell’s exclusive here. The condition of Algeria’s president, Abdelmadjid Tebboune, is improving and he has almost completed treatment, the presidency has announced 13 days after he was flown to a German hospital. Authorities said last week that Tebboune, 75, had tested positive for coronavirus. There have been a further 20,572 lab-confirmed coronavirus cases in the UK, according to government data. This compares with 24,957 new cases registered on Saturday. A total of 1,192,013 people have tested positive for Covid-19. A further 156 deaths within 28 days of a positive test were reported on Sunday, bringing the total to 49,044. There were 413 on Saturday. It is important to note that Sunday figures are often lower because of delays in reporting at the weekend. Separate figures published by the UK’s statistics agencies for deaths when Covid-19 has been mentioned on the death certificate, together with additional data on deaths that have occurred in recent days, show there have now been 64,000 deaths involving coronavirus in the UK. Hello, I’ll be running the blog for the next few hours. If you want to get in touch with any news tips or ideas for coverage, please do drop me a DM on Twitter or an email – thanks! That’s it from me today, thank you for your company. My colleague Clea Skopeliti will be taking over the global coronavirus live blog. From London – have a good evening. October was the worst month of the coronavirus pandemic so far, according to a Reuters tally, with its second wave in the past 30 days accounting for a quarter of all cases recorded so far. US president-elect Joe Biden said he would name his own coronavirus taskforce on Monday, as the US recorded its fourth consecutive record daily total of new Covid-19 cases, close to 130,000. US health experts said lame-duck presidency and political gridlock in the US would worsen the country’s coronavirus crisis just as the pandemic enters its deadliest phase. After concerns over a new coronavirus strain that has spread from mink to humans in Denmark, the UK told lorry drivers who are not UK citizens they would have to self-isolate for 14 days if they had passed through the country. Sweden has had an outbreak of coronavirus cases on mink farms, but the mutated version has not been identified. Wales is starting to see a “levelling off” of Covid-19 case rates, according to the country’s health minister after a 17-day “firebreaker” lockdown. In the UK Queen Elizabeth II wore a face mask in public for the first time during the coronavirus pandemic when attending a ceremony at Westminster Abbey in London. Iran’s daily tally of coronavirus deaths hit a record high of 459 on Sunday, the health ministry announced, increasing the official toll to 38,291 in the Middle East’s worst-hit country. In Australia the Victorian premier, Daniel Andrews, has announced the further easing of Covid restrictions over regional parts of the state after it recorded no new coronavirus cases for the ninth consecutive day on Sunday. New South Wales reported zero new local cases but is still investigating an emerging cluster in the Southern Highlands region, south of Sydney. Weekly figures for England show the central NHS test and trace system is reaching just under 60% of the close contacts of people testing positive, the lowest since the service began. Hospitals in Greater Manchester have suspended non-urgent appointments and surgery following a surge in the number of Covid patients being treated. 413 people with coronavirus have died across the UK in the last 24 hours, up from 355 the previous day, government figures show. It brings the overall UK death toll to 48,888. In France, the total number of deaths from coronavirus has exceeded 40,000 for the first time, the health ministry announced. Deaths from the virus reached 40,169. India reported 50,356 new Covid-19 infections in the past day, as cases in New Delhi surpassed 7,000 on Saturday. Papua New Guinea has reported a second case in New Ireland province, bringing the total number to 599. However testing has been minimal and the infection rate is expected to be much higher than 599, with cases reported in 15 of the 20 provinces. Italy approved a new aid package to cushion the blow to its economy from the resurgence of the Covid-19 pandemic. The measures agreed by cabinet overnight are worth €2.9bn (£2.6bn), according to a report by Reuters. The US confirmed 126,480 new coronavirus cases on Friday. It is the third day in a row that the US has reported a record-breaking number of Covid-19 cases. Polls opened in Myanmar this morning for a vote expected to return to power the government of Aung San Suu Kyi, in an election which went ahead despite virus fears. Scientists have said several hundred thousand extra deaths from tuberculosis are likely to occur this year as a result of Covid-19’s effect on global health services. Thousands of people in Leipzig, Germany, have demonstrated against coronavirus restrictions. The demonstration came as Germany finished its first week of a “lockdown-lite” with new restrictions to try and slow rising coronavirus cases. An increasing number of countries in Europe are making their contract tracing apps work across borders, according to the European Commission. Wales is starting to experience a “levelling off” of Covid-19 cases, according to the country’s health minister. On the final day of a 17-day lockdown, Vaughan Gething also said Wales was considering introducing mass testing, as being trialled in Liverpool in England, in high case rate areas like Merthyr and the valleys. But he warned against early conclusions, saying that the full impact of the “firebreak” lockdown would only be seen in two weeks’ time. The differing approach of Wales, Scotland and Northern Ireland has exposed significant rifts between the UK government in Westmintser and the devolved administrations. Wales’s lockdown ends on Monday just a few days after England’s four-week lockdown started. Latest NHS Wales figures show 1,344 people are being treated in hospital for Covid-19. There are currently 163 requiring critical care, including 54 patients with coronavirus. Wales usually has a 152-bed capacity in intensive care. Gething said treatment for cancer, heart and stroke could be affected if Covid infection rates increased again. He said: We think we’re starting to see a plateauing, a levelling off, in the rates of coronavirus across the country. It’s still at a high rate, which means that there’s still a reservoir of coronavirus within our communities. October was the worst month of the coronavirus pandemic so far, according to a Reuters tally, with its second wave in the past 30 days accounting for a quarter of all cases recorded so far. The US became the first country to report more than 100,000 daily cases, and a surge in Europe also contributed to the rise. The Johns Hopkins coronavirus dashboard reveals that global cases are approaching 50 million. According to Reuters calculations, the latest seven-day average shows global daily infections are rising by more than 540,000. More than 1.25 million people have died of Covid-19 so far. Reuters reports: The pandemic’s recent acceleration has been ferocious. It took 32 days for the number of cases to rise from 30 million to 40 million. It took just 21 days to add another 10 million. Europe, with about 12 million cases, is the worst-affected region, overtaking Latin America. Europe accounts for 24% of Covid-19 deaths. The region is logging about 1 million new infections every three days or so, according to a Reuters analysis. That is 51% of the global total. France is recording 54,440 cases a day on the latest seven-day average, a higher rate than India with a far bigger population. The global second wave is testing healthcare systems across Europe, prompting Germany, France and Britain to order many citizens back to their homes again. Denmark, which imposed a new lockdown on its population in several northern areas, ordered the culling of its 17 million mink after a mutation of the coronavirus found in the animals spread to humans. The US, with about 20% of global cases, is facing its worst surge, recording more than 100,000 daily coronavirus cases on the latest seven-day average. It reported a record of more than 130,000 cases on Saturday. The latest US surge coincided with the last month of election campaigning in which Donald Trump minimised the severity of the pandemic and his successful challenger, Joe Biden, urged a more science-based approach. Trump’s rallies, some open-air and with few masks and little social distancing, led to 30,000 additional confirmed cases and likely led to more than 700 deaths, Stanford University economists estimated in a research paper. India has the world’s second-highest caseload but has seen a steady slowdown since September, despite the start of the Hindu festival season. Total cases exceeded 8.5 million cases on Friday and the daily average is 46,200. Lovely reporting from my colleague Lorenzo Tondo in Roccafiorita in Sicily: When the mayor of Roccafiorita received a phone call in October informing him that an employee in his office had tested positive for Covid-19, his heart sank. Set among the forests at the foot of Mount Kalfa, Roccafiorita is the smallest village in southern Italy. The average age of its 187 inhabitants is over 60. If Covid were to spread among the population, the village could disappear. Concetto Orlando, the mayor, said: When the phone rang, it was like lightning on a sunny day. With this second wave on its way, for a second I thought that we might actually be wiped off the map. The Italian government introduced a semi-lockdown last week to combat the spread of coronavirus, after an average of over 30,000 new cases a day. Most attention has been directed towards large cities such as Milan and Naples, but across the country thousands of small villages are fighting to stay alive. As Joe Biden announced he would name his own coronavirus taskforce on Monday, the US recorded its fourth consecutive record daily total of new Covid cases, close to 130,000. “That plan will be built on a bedrock of science,” Biden said, promising to “spare no effort or commitment to turn this pandemic around.” Johns Hopkins University recorded 127,399 cases across the US on Saturday, bringing the total to nearly 9.9m. More than 1,000 deaths were recorded, bring the national toll close to 237,000. Bearing out Dr Anthony Fauci’s recent warning of cases rising and staying above 100,000 a day, the seven-day average for cases was 103,973. Hospital admissions were also rising, at around 56,000. Fauci, the director of the National Institute of Allergy and Infectious Disease, told the Washington Post last week: We’re in for a whole lot of hurt. It’s not a good situation. All the stars are aligned in the wrong place as you go into the fall and winter season, with people congregating at home indoors. You could not possibly be positioned more poorly. The US president-elect, Joe Biden, is to make the resurgent coronavirus his immediate priority and will announce a 12-member taskforce to deal with the pandemic on Monday, Reuters reports. Biden spent much of his election campaign criticising Donald Trump*s handling of the pandemic, which has now caused the deaths of 237,000 Americans. The US reported a record number of new infections last week, and the total number of cases is nearing 10 million. After four days of uncertainty as votes were counted in key states, Biden’s victory on Saturday in Pennsylvania put him over the threshold of 270 electoral college votes he needed to clinch the presidency. Trump has not conceded and has vowed to challenge the outcome in court. The coronavirus taskforce will be charged with developing a blueprint for containing the disease once Biden takes office in January. It will be headed by three co-chairs, former surgeon general Vivek Murthy, former Food and Drug Administration commissioner David Kessler, and Dr Marcella Nunez-Smith of Yale University, according to two people familiar with the matter. In his victory speech on Saturday in Wilmington Biden said: I will spare no effort or commitment to turn this pandemic around. The taskforce announcement will kick off a busy week in which Biden and the vice rresident-elect, Kamala Harris, will move forward with the presidential transition on a number of fronts. Biden’s transition team will launch a new website, BuildBackBetter.com, on Sunday and a new social media handle, @transition46, to provide the public with information on the handover. A lame-duck presidency and political gridlock in the US after a bitterly fought election are set to worsen the country’s coronavirus crisis just as the pandemic enters its deadliest phase, according to health experts. With two months to go before a presidential handover from Donald Trump to Joe Biden, the federal government’s strategy for containing the virus has experts worried. Outside of embracing conspiracy theories, Trump administration officials appear to have pinned their hopes on improved testing and eventual vaccine approval. Dr Carlos del Rio, executive associate dean of the Emory School of Medicine and Grady Health System in Georgia, said: The strategy, if you can summarise in one word, is hope. And hope is not a strategy. Read the full story here: In the UK Queen Elizabeth II wore a face mask in public for the first time during the coronavirus pandemic when attending a ceremony at Westminster Abbeyin London last week to mark the centenary of the burial of the Unknown Warrior. The 94-year-old monarch has been seen in public on several occasions over the past few months, but she had not been pictured wearing a face covering until this occasion. On Wednesday, during her first public engagement in London since March, she wore a black mask that was edged with white. Pictures of the ceremony were officially released late Saturday. The Welsh first minister, Mark Drakeford, has said it is the right time for his </x:v>
      </x:c>
      <x:c r="I31" s="12" t="str">
        <x:v>country to emerge from its 17-day “firebreak” despite sharp rises in Covid cases and the decision by the UK government to begin a lockdown in England. Drakeford said the impact of the Welsh firebreak, which ends on Monday, would not be felt for a week or two but expressed confidence that Wales’s early action means the country will get to Christmas without a further national lockdown. In an interview with the Guardian, the Labour leader in Wales took a swipe at Boris Johnson for repeatedly insisting that an end to the crisis is in sight, claiming this undermined trust. There is a lot of focus today on the travel ban on Denmark, after concerns over a new coronavirus strain that has spread from mink to humans. A Swedish reader has been in touch to point out that Swedish mink, and those working on mink farms, have also been found to have the virus. According to this report from Sveriges Television AB (SVT), Håkan Henrikson, chief veterinarian at the Swedish Board of Agriculture, said the mutated version has not been identified in Sweden, even though the virus had been found in several mink farms in Blekinge, after the country’s first case of infection among mink was discovered on a farm in Sölvesborg. The report states that infections have been found in another nine mink herds in Sölvesborg. Henrikson told the broadcaster that the majority of the mink kept for fur production would be killed in November. He said the fact that 80% had been killed was a positive step to stop the spread of infection. He said: This means a large reduction of animals, which means that there will be fewer animals that are susceptible to the infection. Read our Q&amp;amp;A on the concerns about mink here: Iran’s daily tally of coronavirus deaths hit a record high of 459 on Sunday, the health ministry announced, increasing the official toll to 38,291 in the Middle East’s worst-hit country. Reuters reports: Ministry spokeswoman Sima Sadat Lari told state TV that the total number of confirmed coronavirus cases increased by 9,236 to 682,486. Last week, the head of Iran’s Medical Council, Mohammadreza Zafarghandi, doubted the accuracy of the official toll and warned that Iran had reached a “catastrophic mortality rate”, the Students News Agency ISNA reported. To stem a third wave of the virus, the government has shut schools, mosques, shops and restaurants in most of the country. Authorities have warned that coronavirus tolls will further spike if Iranians failed to respect health protocols. In Malaysia, there have been 852 new cases and four new deaths in Malaysia recorded. Malaysia has imposed a month-long conditional movement order in most states. According to this report from Bloomberg, defence minister Ismail Sabri Yaakob told reporters on Saturday that the restrictions will end on 6 December. The story states: The partial lockdown in capital Kuala Lumpur, as well as the states of Selangor and Sabah will be extended when it expires on Monday, he said. The curbs won’t apply to the states of Perlis, Pahang and Kelantan in peninsular Malaysia, and the state of Sarawak on Borneo island, he said, without elaborating. The country reported 1,168 new cases Saturday, down from a record 1,755 on Friday. Malaysia has been struggling to stem a resurgence of coronavirus infections that emerged in late September. The country’s biggest-ever spending plan announced Friday will help the nation cope with the economic impact of the pandemic, prime minister Muhyiddin Yassin said on Saturday. Following concerns over a new coronavirus strain that has spread from mink to humans in Denmark, the UK has stated that lorry drivers who are not UK citizens and have been through Denmark in the last fortnight will have to self-isolate for 14 days along with their households. The new rules, which began at 4am on Sunday, follow a ban on non-UK citizens coming to the UK from Denmark. Passenger planes and ships carrying freight from Denmark will also be preveented from stopping in UK docks, while cabin crew will also not be exempted from the quarantine rules. Ryanair has cancelled all flights to and from Denmark while the rules remain in place. Scottish airline Loganair said it has suspended flights between Scotland and Denmark from 9-22 November. Veterinary workers have begun a mass extermination of mink, gassing and then burning 17 million of the creatures in Danish farms in a bid to halt further spread of a Covid-19 mutation from the animals to humans. You can read that story here: The UK foreign secretary Dominic Raab, speaking on the BBC’s Andrew Marr Show this morning, said of the restrictions: Although it is a precautionary step, I think it is the right step whilst we engage with all of the health experts around the world, with the Danish authorities, and be clear about what has happened in Denmark, in particular in relation to the minks. The Czech Republic reported 7,722 new coronavirus cases for the latest 24-hour period, the third time this month that the daily tally fell below 10,000, Health Ministry data showed on Sunday. Saturday’s daily tally was the lowest since 1 November and brings the total number of cases reported since the outbreak started to 411,220 in the country of 10.7 million, Reuters reports. Cases have risen tenfold since mid-September. The health ministry reported 155 new deaths on Sunday, which included 99 on Saturday along with revisions to previous days. In total 4,681 people have died. The country is facing one of Europe’s biggest per capita spikes in infections in recent weeks, including a record daily count of over 15,000 on 4 November, although Czech health authorities said on Friday new cases may have plateaued. Hospitals, though, would still feel strain and cases among vulnerable senior citizens are on the rise, they said. Deaths related to Covid-19 in the Czech Republic have been highest in Europe on a per-capita basis in recent weeks, according to European Centre for Disease Prevention and Control data. For more on the Czech Republic’s response, and where it went wrong, this piece by the BBC’s Prague correspondent is very informative: In the UK General Sir Nick Carter has asked people not to leave their houses and gather to mark Remembrance Sunday, but rather stand in silence on their doorstep at 11am Asked on The Andrew Marr show on BBC One about the lack of a Cenotaph march-past, he said: It is especially hard for our veterans who like to get together, to share their memories and to ‘strut their stuff’. It will be hard for them. In Indonesia, there have been 3,880 new cases and 74 new deaths recorded in the last 24 hours. In Spain, Barcelona council has come to the rescue of some of the city’s most emblematic and best-loved bars by adding them to the list of protected sites and buildings. However, thanks to Covid-19 restrictions, you won’t be able to get a drink in any of them for at least the next few weeks. My colleague Stephen Burgen reports: The city has added 11 bodegas to the list of 220 shops that are considered part of the city’s cultural heritage. The move has been widely welcomed, though it comes too late to save many small businesses, from toy and book shops to grocery and furniture stores, that were part of the fabric and essence of the city but were forced out by soaring rents. In most cases they have been replaced by chain stores. Read the full story here: The Philippines reported 2,442 new coronavirus infections on Sunday, its biggest daily increase since Oct. 19, taking the total to 396,395, its health ministry said. The Department of Health also reported 54 more coronavirus-related deaths, taking the official death toll to 7,539. Russia reported 20,498 new coronavirus infections on Sunday, slightly below a record high it recorded on Friday, and 286 coronavirus-related deaths. This brings the national tally to 1,774,334 cases of infection and takes the official death toll to 30,537. I’ll be looking after the global coronavirus liveblog today, my thanks to Helen Davidson for her sterling work from Australia. Please do get in touch from where you are. I’m on alexandra.topping@theguardian.com and @lexytopping on Twitter. My DMs are open. I’ll be handing over to Alexandra Topping in the UK shortly, but first a quick roundup of the latest developments. US president-elect Joe Biden said he will appoint a team of leading scientists and experts as transition advisors to start work immediately on a Covid response plan “built on a bedrock of science” for as soon as he’s inaugurated. In Australia the Victorian premier, Daniel Andrews, has announced the further easing of Covid restrictions over regional parts of the state after it recorded no new coronavirus cases for the ninth consecutive day on Sunday. New South Wales reported zero new local cases but is still investigating an emerging cluster in the Southern Highlands region, south of Sydney. Weekly figures for England show the central NHS test and trace system is reaching just under 60% of the close contacts of people testing positive, the lowest since the service began. Hospitals in Greater Manchester have suspended non-urgent appointments and surgery following a surge in the number of Covid patients being treated. 413 people with coronavirus have died across the UK in the last 24 hours, up from 355 the previous day, government figures show. It brings the overall UK death toll to 48,888. In France, the total number of deaths from coronavirus has exceeded 40,000 for the first time, the health ministry announced. Deaths from the virus reached 40,169. India reported 50,356 new Covid-19 infections in the past day, as cases in New Delhi surpassed 7,000 on Saturday. Papua New Guinea has reported a second case in New Ireland province, bringing the total number to 599. However testing has been minimal and the infection rate is expected to be much higher than 599, with cases reported in 15 of the 20 provinces. Italy approved a new aid package to cushion the blow to its economy from the resurgence of the Covid-19 pandemic. The measures agreed by cabinet overnight are worth €2.9bn (£2.6bn), according to a report by Reuters. The US confirmed 126,480 new coronavirus cases on Friday. It is the third day in a row that the US has reported a record-breaking number of Covid-19 cases. Polls opened in Myanmar this morning for a vote expected to return to power the government of Aung San Suu Kyi, in an election which went ahead despite virus fears. Scientists have warned that several hundred thousand extra deaths from tuberculosis are likely to occur this year as a result of Covid-19’s effect on global health services. Thousands of people in Leipzig, Germany, have demonstrated against coronavirus restrictions. The demonstration came as Germany finished its first week of a “lockdown light” with new restrictions to try and slow rising coronavirus cases. Travel to UK from Denmark has been banned amid worries over Covid in mink. PA: The economic fallout during the coronavirus pandemic has made the prospect of a third world war “a risk”, the UK’s most senior military commander has said. General Sir Nick Carter, the chief of the defence staff made the comments when asked by Sky News in the run-up to Remembrance Sunday whether he feared the global economic crisis brought on by coronavirus could lead to war. He told the Sophy Ridge on Sunday programme there was a worry that the increase in regional conflicts playing out across the world could ramp up into “a full-blown war”, mirroring the run-up to the two world wars in the 20th century when a series of alliances between countries led to years of bloodshed. The senior official argued that, with the world being “a very uncertain and anxious place” during the pandemic, there was the possibility “you could see escalation lead to miscalculation”. “We have to remember that history might not repeat itself but it has a rhythm and if you look back at the last century, before both world wars, I think it was unarguable that there was escalation which led to the miscalculation which ultimately led to war at a scale we would hopefully never see again,” said Carter. Asked whether he was saying there was a “real threat” of a third world war, he replied: “I’m saying it’s a risk and we need to be conscious of those risks A devastating dispatch from the Dakotas, via the AP. With coronavirus cases running rampant in the Dakotas and elected leaders refusing to forcefully intervene, the burden of pushing people to take the virus seriously has increasingly been put on the families of those who have died. The ranks of those who know what it means to lose someone they love to Covid-19 are on the rise. North Dakota and South Dakota have the nation’s worst rate of deaths per capita over the last 30 days. Despite advances in treating Covid-19 patients, hundreds more people have died in recent weeks than during any other period — a grim exclamation point on the virus outbreak slamming the northern Plains and Upper Midwest. In the Dakotas, the virus has shown few signs of slowing down. With winter approaching and hospitals scrambling to make room for Covid-19 patients, medical experts worry that virus deaths will continue to climb in a region where people have been slow to adopt mitigation measures like wearing masks. The Republican governors of both states have derided government orders to help halt the outbreaks, leaning on ideals of limited government. The deaths have increasingly hit closer to home among many tight-knit communities: a priest in the Roman Catholic Diocese of Fargo; a former school principal in De Smet; an elementary school employee in Sioux Falls; a North Dakota state legislative candidate. “Sometimes I think it’s not true,” said Chris Bjorkman, who lost her husband, John Bjorkman, 66. “Sometimes I think he’s going to walk through the door, but he hasn’t yet, so I just keep waiting.” Bjorkman’s family, who live in De Smet, a town in eastern South Dakota where Laura Ingalls Wilder once had a homestead, decided to publicly share his struggle with the virus because he loved serving the community. After a career as a teacher and school administrator, Bjorkman was a well-known figure, remembered for his fun-loving ways and care for children. “I want people to know what Covid can do and how serious it is,” Chris Bjorkman said. The family experienced the crunch facing the health care system as John Bjorkman was flown to a hospital in Minnesota after his condition worsened. The family posted regular Facebook updates as he was transferred to an intensive care unit in Sioux Falls and placed on a ventilator. Doctors are unsure how many more cases like Bjorkman’s that they can handle. “At this time, we’re headed in a direction of overwhelming our health care systems and I think that’s closer than what people understand,” said Dr. Michael Pietila, a critical care physician at the Yankton Medical Clinic. You can read the full story here. South Australia’s streak of recording at least one new case of Covid-19 among returned travellers has been extended to six days, AAP reports. Three new cases were confirmed by SA Health today, with two men and a woman - all in their 20s - testing positive in hotel quarantine after recently returning from overseas. As two of the cases are old infections, they won’t be added to SA’s tally of 19 active infections. SA hasn’t had a day without a new infection since Monday, with 14 hotel quarantine cases reported in the last six days. That included Thursday’s five new infections which represented the state’s biggest daily spike in Covid-19 cases for almost seven months. Thailand recorded seven new imported cases today, the Bangkok Post has reported. It brings Thailand’s total to 3,837. No new deaths were reported. AFP: Polls opened in Myanmar this morning for a vote expected to return to power the government of Aung San Suu Kyi, who remains a hero at home in spite of a reputation abroad shattered by the Rohingya crisis. The election will be just the second since the Southeast Asian nation emerged from nearly half a century of junta rule in 2011. Five years ago Suu Kyi’s National League for Democracy (NLD) won a landslide victory, but was forced by the constitution into an uneasy power-sharing agreement with the still-mighty military. This time the civilian leader - in a bid to maintain an absolute majority - has implored citizens to overcome their fears of coronavirus to turn out and cast their ballots. Voters across the country joined long lines before the sun had even risen on Sunday as they waited for polling stations to open, largely maintaining physical distance and wearing compulsory face masks in the coronavirus-disturbed vote. Cases have spiralled upwards in recent months, sending swathes of the country into lockdown and largely forcing election campaigns online, where hate speech between rival factions has flourished. But Suu Kyi, who has placed herself front and centre in the fight against the epidemic, refused to postpone the polls. “I’m not at all afraid of being infected with Covid-19,” said 27-year-old Khine Zar Chi, voting for her first time in downtown Yangon. “I don’t care if I die for Mother Suu.” Authorities allowed the elderly to vote in advance - including the 75-year-old Suu Kyi and the president - as well as internal migrants casting ballots in temporary constituencies. But holding the election could see “serious public health ramifications”, warned the International Crisis Group watchdog. UN chief Antonio Guterres on Friday called for a “peaceful, orderly and credible” election, although doubts about the vote’s credibility have already overshadowed the poll. Virtually all the 600,000 Rohingya Muslims remaining in the country - half of whom are of voting age - are stripped of citizenship and rights, including their chance to vote. “This is an apartheid election,” said rights group Burma Campaign UK, adding the polls were “less free and fair than the last”. Scientists have warned that several hundred thousand extra deaths from tuberculosis are likely to occur this year as a result of Covid-19’s effect on global health services. In many countries – including South Africa, India and Indonesia – doctors and health workers have been shifted from tracking TB cases to tracing people infected with Covid-19. Equipment and budgets have also been reassigned, an investigation by the World Health Organisation (WHO) has revealed. As a result, millions of TB diagnoses have been missed, and according to the WHO this is likely to result in 200,000 to 400,000 excess deaths from the disease this year alone, with a further million new cases occurring every year after that for the next five years. “This is just one example of the very difficult choices that had to be taken to contain Covid-19,” said Thomas Kenyon, chief health officer of Project Hope, the humanitarian NGO. “It was obviously crucial that we tackle the pandemic but we cannot forget that we have other killers in our midst. We are going to have to be innovative in addressing them.” The number of confirmed coronavirus cases in Germany increased by 16,017 to 658,505, data from the Robert Koch Institute (RKI) for infectious diseases showed on Sunday. The reported death toll rose by 63 to 11,289. Care home residents in England face a postcode lottery over visiting because ministers have abdicated responsibility to local officials, according to social care bosses. Thousands of elderly people are still unable to have face-to-face contact with relatives despite guidance from health secretary Matt Hancock last week encouraging operators to allow visitors. Martin Green, chief executive of Care England, said: “In some areas directors of public health have said they will not allow visiting, so a care home might want to reinstate visiting but the local public health director is saying it can’t. “It is a postcode lottery. And the problem is that there is no accountability trail for directors of public health. Care homes cannot use the government’s guidance to override the local official. This is really a mistake by government.” The combination of the economic crisis unleashed by the coronavirus and the potential Congressional stalemate emerging from theUS election could combine to push down the vale of the US dollar in the coming months. Analysts believe that president-elect Joe Biden will struggle to push much extra government spending through Congress because he may not have control of the Senate upper house. That mean the US Federal Reserve will have to prop up the US economy with more quantitative easing, or money printing schemes, to keep dollars flowing through the system, in turn forcing down the value of the dollar. The US currency is off about 10% from its highs of the year and stands at a two-year low. Its decline has buoyed rallies in assets some investors see as dollar alternatives, such as gold and bitcoin, which are up 4% and 12% so far this month, respectively. Other currencies will benefit. The euro has gained around 6% against the dollar this year, while the Japanese yen is up around 5%. The Aussie dollar is up 15% since May at US72.63. The footballer Marcus Rashford has described being “overwhelmed with pride” at the progress of his campaign to fight child food poverty as ministers announced a £170m winter grant scheme aimed at helping low-income families struggling as a result of Covid-19. Rashford said he had talked with Boris Johnson after his Manchester United team played Everton on Saturday, and was told of the latest plans. While he said many of the campaign’s objectives had yet to be met, he was proud and grateful for the positive steps taken. “Following the game today, I had a good conversation with the prime minister to better understand the proposed plan, and I very much welcome the steps that have been taken to combat child food poverty in the UK,” the England striker said. “There is still so much more to do, and my immediate concern is the approximate 1.7 million children who miss out on free school meals, holiday provision and Healthy Start vouchers because their family income isn’t quite low enough. But the intent the government have shown today is nothing but positive and they should be recognised for that. The steps made today will improve the lives of near 1.7 million children in the UK over the next 12 months.” Ministers had faced fierce criticism for refusing to extend free school meals to children from low-income families during the half-term holiday, as demanded by Rashford. Weekly figures for England show the central NHS test and trace system is reaching just under 60% of the close contacts of people testing positive, the lowest since the service began. The government is now facing renewed calls for the system to be scrapped in favour of handing responsibility for contact tracing to local public health teams. It comes as the Office for National Statistics indicated the steep rise in new infections was levelling off in England and stabilising at about 50,000 a day. Sir John Oldham, adjunct professor in global health innovation at Imperial College London and former leader of large-scale change at the Department of Health, said “lockdown will be a letdown” unless trust was increased through radical reform of test and trace. “I think this probably includes increasing the number of small labs to decrease turnaround time and, crucially, the results to go to local directors of health and for them to have teams to undertake the contact tracing,” he told BBC Radio 4’s Today programme. Still in Australia, health authorities in New South Wales are asking people in the Rouse Hill area to get tested “if they have even the mildest symptoms” after the virus was detected in sewage. The sewage surveillance system detected traces of the virus in the catchment for parts of Quakers Hill, Castle Hill, Annangrove, Kellyville, Box Hill, Kenthurst, Glenhaven, The Ponds, Rouse Hill, North Kellyville, Kellyville Ridge, Beaumont Hills, Stanhope Gardens, Baulkham Hills, Glenwood, Bella Vista, Parklea, Acacia Gardens and Norwest, home to 120,000 people. Here’s our full report on the lifting of restrictions in Victoria, Australia. Daniel Andrews has announced the so-called “ring of steel” separating metropolitan Melbourne and regional Victoria will be scrapped along with travel restrictions for city residents, as the state recorded no new cases of Covid-19 for the ninth day in a row. Declaring it “a day to be optimistic”, the Victorian premier said on Sunday that the state would take the next step in easing longstanding coronavirus restrictions by removing the checkpoints between Melbourne and the rest of the state from midnight. “Families will be able to be together again,” he told reporters. “Today is a day to be proud as Victorians of what we have been able to achieve. There has been a lot of pain and hurt and there is a need for healing, for investment, for all sorts of repair. The most important thing … is to stay the course on this – to be as stubborn as the virus.” AFP: Coronavirus transmission from minks to humans does not necessarily mean the disease will become more dangerous, but scientists are on their guard in the wake of an astounding announcement from Denmark. Danish Prime Minister Mette Frederiksen said Wednesday that the country will kill more than 15 million minks and that a variant of the Sars-Cov-2 virus that had been transmitted from the animals to 12 people could impact a vaccine’s effectiveness. Specialists are not convinced however that the danger is much greater and are waiting for more evidence. “I really wish that the trend of science by press release would stop,” commented Angela Rasmussen, a virologist at Columbia University in New York. “There’s no reason why the genomic data couldn’t be shared, which would allow the scientific community to evaluate these claims,” she added on Twitter. Viruses such as the one that emerged in China late last year mutate constantly and new variants are not necessarily worse than the previous ones. So far, no study has shown newer Sars-Cov-2 variants to be more contagious or dangerous than their predecessors. The contamination of minks is not new either, with breeders in several countries, including the Netherlands, Spain, Sweden and the United States reporting cases. A few cases of humans being infected by minks have also been reported. Denmark has been specific in describing how the different strain of the virus jumped from mink to man. “According to the information from Danish authorities, this virus is neither more pathogenic, nor more virulent,” specialist Gilles Salvat at the French health agency Anses told AFP. There is concern however that a variant “emerges like a second virus and dominates the population,” he noted. “Coming up with a vaccine for one strain is already complicated, and if we have to do it for two, four or six strains it is even more complicated,” the specialist noted. He considered the decision to cull Danish mink to be a “precaution”. In his victory speech just now, the US president-elect Joe Biden has said he will - on Monday - be appointing a team of leading scientists and experts as transition advisors to start work immediately on the Biden-Harris administration Covid response, and convert it to “an action blueprint” to start as soon as he takes office. That plan will be built on bedrock science. It will be constructed out of compassion, empathy and concern. I will spare no effort, none. Or any commitments to turn around this pandemic.” The US has posted record case numbers for three consecutive days and is the worst hit nation in the world. A quick sidenote to let you all know that Joe Biden is delivering his victory speech, and Kamala Harris has just finished speaking. Follow our coverage of it on our live blog over here (then come back for all your Covid updates). Reuters: Portugal will impose localised night-time curfews from Monday to contain the spread of the coronavirus as the number of cases reached a record high, Prime Minister Antonio Costa announced in the early hours of Sunday. The overnight curfew, from 11pm to 6am, will come into force across 121 of the country’s 308 municipalities, including Lisbon and Porto, on Monday as the country enters a 15-day state of emergency. Costa also announced people will not be able to leave their homes between 1pm and 5am during the next two weekends - on both Saturday and Sunday. Some commercial outlets will close during these times, he said. Hello, this is Helen Davidson here to take you through the next few hours of global coronavirus coverage. You can catch up on the last 24 hours at the previous live blog here. A quick wrap of the latest developments: The Victorian premier, Daniel Andrews, has announced the further easing of Covid restrictions over regional parts of the state after it recorded no new coronavirus cases for the ninth consecutive day on Sunday. The Australian state of New South Wales reported zero new local cases in the last 24 hours but are still investigating an emerging cluster in the Southern Highlands region, south of Sydney. In France, the total number of deaths from coronavirus has exceeded 40,000 for the first time, the health ministry announced. New deaths from the virus reached 40,169. India reported 50,356 new Covid-19 infections in the past day, as cases in New Delhi surpassed 7,000 on Saturday. Papua New Guinea has reported a second case in New Ireland province, bringing the total number to 599. However testing has been minimal and the infection rate is expected to be much higher than 599, with cases reported in 15 of the 20 provinces. Hospitals in Greater Manchester have suspended non-urgent appointments and surgery following a surge in the number of Covid patients being treated. 413 people with coronavirus have died across the UK in the last 24 hours, up from 355 the previous day, government figures show. It brings the overall U</x:v>
      </x:c>
      <x:c r="J31" s="12" t="str">
        <x:v>K death toll to 48,888. Italy approved a new aid package to cushion the blow to its economy from the resurgence of the Covid-19 pandemic. The measures agreed by cabinet overnight are worth €2.9bn (£2.6bn), according to a report by Reuters. The US confirmed 126,480 new coronavirus cases on Friday. It is the third day in a row that the US has reported a record-breaking number of Covid-19 cases. Thousands of people in Leipzig, Germany, have demonstrated against coronavirus restrictions. The demonstration came as Germany finished its first week of a “lockdown light” with new restrictions to try and slow rising coronavirus cases. Iran registers a record daily number of Covid-19 cases and another 423 deaths from the disease. Donald Trump’s chief of staff tests positive for Covid. Mark Meadows has tested positive for Covid-19, along with at least one other aide to the president, sources have told multiple news organisations The reports came just days after Meadows appeared with Trump at a White House event along with several people who were not wearing masks. Bosnia’s prime minister, Zoran Tegeltija, has tested positive for Covid-19. Tegeltija is is self-isolating at home, Reuters reports, citing a cabinet statement. Poland reported a record 27,875 new coronavirus cases. Saturday’s figures takes the total number of reported cases to more than 500,000. Travel to UK from Denmark has been banned amid worries over Covid in mink.</x:v>
      </x:c>
    </x:row>
    <x:row r="32" ht="110" customHeight="1">
      <x:c r="A32" s="12" t="n">
        <x:v>29</x:v>
      </x:c>
      <x:c r="B32" s="12" t="str">
        <x:v>NEWS-guardian_api-8c28af0f119c</x:v>
      </x:c>
      <x:c r="C32" s="12" t="str">
        <x:v>Badenoch says teaching boys about misogyny shouldn’t be a priority because migrants more dangerous to women and girls – UK politics live</x:v>
      </x:c>
      <x:c r="D32" s="12" t="str">
        <x:v>https://www.theguardian.com/politics/live/2025/dec/18/violence-women-girls-strategy-labour-conservatives-badenoch-starmer-latest-news-updates</x:v>
      </x:c>
      <x:c r="E32" s="12" t="str">
        <x:v>data/raw/news/text/NEWS-guardian_api-8c28af0f119c.txt</x:v>
      </x:c>
      <x:c r="F32" s="12" t="str">
        <x:v>data/raw/news/text/NEWS-guardian_api-8c28af0f119c.txt</x:v>
      </x:c>
      <x:c r="G32" s="12" t="n">
        <x:v>44306</x:v>
      </x:c>
      <x:c r="H32" s="12" t="str">
        <x:v>Kemi Badenoch has been accused of weaponising violence against women and girls and using “dangerous” and “deeply inaccurate” claims in her response to the government’s plan to tackle the issue. Children as young as 11 who demonstrate misogynistic behaviour will be taught the difference between pornography and real relationships under the government’s violence against women and girls plan published today. Keir Starmer is facing the threat of a backbench rebellion over plans to reduce the number of jury trials in England and Wales as dozens of Labour MPs signed a letter describing the move as “madness”. Angela Rayner is writing a memoir about her rise to become deputy prime minister and her subsequent fall from grace, the Guardian can confirm, in a move that will be seen as an attempt to set the narrative ahead of any leadership contest. The Bank of England has cut interest rates by a quarter point, giving a pre-Christmas boost to the struggling UK economy, but a split vote among its rate-setters pointed to continued concerns about inflation. For a full list of all the stories covered on the blog today, do scroll through the list of key event headlines near the top of the blog. Eight Palestine Action activists on hunger strike while in prison awaiting trial are dying, according to a doctor. PA Media says: Dr James Smith, a qualified emergency physician who is a lecturer at University College London, told a press conference the group, who are accused of break-ins or criminal damage on behalf of Palestine Action, need specialist medical help. His warning comes amid calls for the government to intervene from doctors and politicians, including former Labour leader Jeremy Corbyn, who claimed there have been “regular breaches of prison conditions and prison rules”. Some of the eight prisoners, who began the action in protest at being held in custody while awaiting trial, have been taken to hospital. Helena Smith is the Guardian’s correspondent in Greece. On a flying visit to Athens today, Yvette Cooper, the foreign secretary, underlined the importance of “mobilising” Russia’s frozen assets saying it was clear Moscow was still bent on waging its war of aggression in Ukraine. At a press conference she said: I see two presidents who are pursuing peace at the moment, President Trump and President Zelenskyy and one president, President Putin who is still seeking to escalate conflict and war. That is why it is so important to make progress on mobilising the Russian sovereign assets in order to be able to support Ukraine and also to be able to put increased pressure on Russia to properly bring them to the table and pursue peace. Cooper said by putting the legal steps in place to seize proceeds from the 2022 sale of Chelsea football club – announced by the British government yesterday - the UK was giving the Russian oligarch, Roman Abramovich, the chance “to now honour the commitment he made three years ago towards the people of Ukraine” to support humanitarian efforts in the country. Cooper’s visit was the first to Athens by a British foreign secretary since April 2017 when Boris Johnson, then in the post, stood in the same room in Athens and announced: “As we prepare to leave the EU, I look forward to strengthening our historic ties.” Cooper emphasised the importance of the UK’s alliances internationally saying: “We know we are stronger as a result of the partnerships we build abroad those that support partnerships that make us stronger at home.” Former industrial and mining communities across Britain are facing “entrenched disadvantage” stretching back some 50 years, the latest research on social mobility has found. PA Media reports: So-called left-behind communities in Yorkshire, the north-east, the Midlands, Wales and Scotland which were rapidly de-industrialised throughout the late 20th century are still disadvantaged and facing decline after decades in the same condition, the Social Mobility Commission (SMC) warned. The commission’s latest State Of The Nation report highlights stark differences in social mobility across the regions and nations of the UK. Some Britons face fewer job opportunities, a lack of growth and a worse childhood as a result of where they live. The SMC also warned about the class disparities in the number of young people who are not in education, employment or training (Neets), a group which has grown in recent years. More than double of the number of young people from working-class backgrounds are Neets (22%) than from professional backgrounds (9%), the SMC said. The commission did acknowledge there was growth in the percentage of younger people getting good jobs, with 48.2% of 25-29 year olds in professional careers as of 2022-2024, compared with 36.1% in 2014-2016. However, it also warned of a widening gap between those from privileged and working-class backgrounds who were getting into these jobs. Women from less well-off backgrounds also continue to experience more difficulty with getting higher-paid jobs than more privileged women, the commission said. The full report is here. This year’s report contains more international comparison data than in the past, and this chart summarises the main findings. The company linked to the former Conservative peer Michelle Mone, which owes the government almost £150m for supplying unusable personal protective equipment during the pandemic, has been put into liquidation, David Conn reports. The government has today announced that three bills have received royal assent. The employment rights bill and the planning and infrastructure bill are particularly important, because they are flagship measures. Here are links to government news releases explaining what they will do. Employment rights bill Planning and infrastructure bill Mental Health bill The opening of the long-awaited Leeds tram system has been pushed back by at least two to three years, after a government review of the £2.5bn project, Gwyn Topham reports. Kemi Badenoch has dismissed the government’s VAWG strategy as a “complete distraction”, arguing that teaching boys to respect women should not be a priority because migrants post a more serious threat. In a post on social media, and comments quoted by the Telegraph, she backed up the arguments used by Katie Lam in the Commons (see 2.29pm) – but went further, dismissing the long-awaited policy document as “just a big mess”. Badenoch said: It’s not 11-year-old boys who are committing violence against women and girls. We need to get people who have come from cultures that don’t respect women out of our country! Not all cultures are equally valid. Labour’s plan to lecture schoolboys to respect women and girls is a complete distraction. This is what a government looks like when they’re completely out of ideas. Deport all foreign criminals. Put more police on our streets. Conservatives have a funded plan to recruit 10,000 extra officers. Pretending a few extra lessons in school will fix this is complete nonsense. Labour need to stop watching Adolesence and get real. But they can’t, because they’re too scared, weak and divided. They have no serious plan to tackle this problem. And, in comments in the Telegraph, she said: What they’ve announced today is just a big mess, I’m afraid. The fact is, it’s not 11-year-old boys in school who are perpetrating violence against women and girls. This is happening because some people in Labour watched Adolescence and that’s what they want to focus on. It’s a complete distraction. Badenoch was referring to Starmer praising the programme Adolescence earlier this year. The Tory leader was criticised after telling an interviewer that she had not watched the programme and did not see why she should, because it was fictional. Alison McGovern, the local government minister, has confirmed that the government will let councils affected by local government reorganisation to postpone elections for another year. At the start of this year the government announced that council elections planned for East Sussex, West Sussex, Essex, Thurrock, Hampshire, the Isle of Wight, Norfolk, Suffolk and Surrey would be delayed for 12 months, until 2026, because of the council reorganisation. Two weeks ago it announced that four elections to new mayoral authorities, originally planned for next May, were also being delayed. Today, in a statement to MPs, McGovern said an increasing number of councils were expressing concerns about “time and energy” that they would have to spend running elections to bodies that would not last for long anyway. Postponement would “free up resources to be concentrated on local government reorganisation and the delivery of good services”, she said. McGovern said, as a result, the government has opened a consultation with councils on this issue. If councils want elections to go ahead, they will. But if councils ask for a delay, the government will be minded to allow it, she said. The consultation will run until 15 January. According to a statement from Ministry of Housing, Communities and Local Government, there are 204 councils across 21 areas undergoing reorganisation and 63 of these councils are scheduled to hold elections in May 2026. They have all been given the option of postponement. Sky News is reporting that this decision is likely to result in elections in Norfolk, Suffolk, Essex, and East and West Sussex being postponed for another year until 2027. Even though these are county councils controlled by the Conservative party, James Cleverly, the shadow housing secretary, complained that this was a decision that would benefit the Labour party. He said: Labour are scared of the voters. They thought they could completely overhaul local government and stack the deck in their favour. They were wrong. Earlier this month, Labour cancelled mayoral elections and now they are at it again with council elections, fiddling the democratic process to serve their own political interests. Victoria Atkins, the shadow environment secretary, has criticised the government’s response to the publication of the Batters report about farming profitability. (See 12.33pm.) She said: In her report, Baroness Batters admits that the farming sector is “bewildered and frightened of what might lay ahead” because of the vindictive family farm and family business taxes. It’s no wonder that the government have buried this report until after their disastrous Benefits Street budget, and sneaked it out on the last day of term. Instead of dealing with “the single biggest issue” facing the industry, the government’s only response today is to create yet another quango – the very last thing that farmers need. Here is an extract from what Katie Lam, a shadow Home Office minister, said when she was responding to Jess Phillips’ Commons statement about the long-awaited VAWG plan. It is interesting because it shows the extent to which being anti-immigration has become an obsession for the party (which this year has been overtaken in popularity on the right by Reform UK). Lam, of course, is the MP who provoked controversy earlier this year for saying that legally settled families should be deported in part to ensure the UK is mostly “culturally coherent”. Lam started by talking about measures taken by the previous Conservative government to improve the way rape cases are prosecuted, and welcomed measures in the Labour strategy that, she said, built on this work, such as the plan for specialist rape teams in police forces. Then she swiftly moved on to the topic that took up most of her five-minute speech – the threat supposedly posed by migrants. She said: Truly protecting women and girls demands that we have difficult and sometimes awkward conversations, conversations about sex and consent, about private lives and criminality in the home, and about who is committing these crimes and why. Relationships between men and women, relationships between parents and children are delicate, particular, and shaped by longstanding norms and beliefs. Not every country and culture in the world believes, as we do, that women are equal to men with personal, bodily and sexual autonomy. And when people from those countries and cultures come here, this can be dangerous. Do not take my word for it. The defence counsel for Israr Niazal, an Afghan asylum seeker convicted of raping a 15-year-old girl, argued that Niazal did not understand the age of consent, or the concept of consent more broadly, because no such consent exists in Afghanistan. If we cannot be honest about this, we will fail to achieve the first of this strategy’s goals – preventing men and boys from becoming abusers. Lam went on to say that, despite repeated requests from the Tories, the government has yet to publish comprehensive data on crime committed by migrants. She said what data is available suggests “shocking variations in crime rates by nationality and immigration status”. She went on: According to data from the Ministry of Justice, foreign nationals make up a third of all convictions for sexual assaults against women, despite making up between 11 and 12% of the population. Afghans and Eritreans, the nationalities which made up the largest number of boat crossings this year, are more than 20 times more likely to be convicted for sexual offences as British nationals. Each and every case of sexual assault is wrong. Perpetrators must face the full force of the law, regardless of nationality, and it remains the case that statistically, the most dangerous place for women to be is in her own home. But we must be able to have an informed and honest debate about whether mass migration is making this problem worse, particularly when a large number of recent migrants come here from countries where attitudes to women are very different from our own. Lam ended by quoting a recent article published in the Journal of Medical Ethics, a BMJ academic journal, criticising the global campaign against female genital mutilation. She suggested this was an example of how immigration was leading to harmful ideas becoming acceptable in the UK. Lam was right to say that the data relating to crime levels by immigration status is incomplete. But some of the figures she was quoting were misleading. Haroon Siddique and Michael Goodier explain why in this recent Guardian article. The Migration Observatory also published a recent report on this topic. It concluded: Overall, rates of incarceration and criminal convictions are broadly similar for foreign and British nationals. When controlling for age and sex, the share of non-citizens who are incarcerated is lower than among Brits. The available data is not yet sufficient to conduct the same analysis for convictions, although the Migration Observatory has requested the relevant data from MoJ. Rachel de Souza, the children’s commission, has issued this statement about the VAWG plan. While she welcomes many elements of it, she says she is “deeply concerned” that it does not contain enough measures to protect girls under the age of 16. She says: This strategy is an important step in our shared ambition to end violence against women and girls. I’m pleased to see many of my recommendations included, especially a new network of ‘Child Houses’ [see 10.01am], which are hugely valuable services bringing highly skilled professionals together under one roof to care for child victims of abuse and give them a voice. I’m also delighted to see a move to ban nudification tools as I have pushed for, which strip people naked in images against their will. [See 1.37pm.] There is simply no reason for these tools to exist and I’m grateful to the government for responding decisively to this growing threat in children’s lives. The focus on evidence-based relationships education that addresses the realities of teenagers’ lives today is welcome, as is the move to prioritise better training for teachers and experts to shape children’s views early on – but this must be done with sensitivity, without demonising young boys or pitting them against girls. However, I remain deeply concerned that too much of this strategy will only protect girls who are 16 or over. We need robust data measures to see if the strategy is working, but this cannot be at the expense of listening and responding to the risks facing every girl from a young age. In her opening statement to MPs, Phillips said that nudification tools are going to be banned. The Home Office has set out more detail on this in a news release. More women and girls will be protected from deepfake abuse as new laws will ban ‘nudification’ tools that use generative AI to turn images of real people into fake nude pictures and videos without their permission. As part of the government’s strategy to tackle violence against women and girls, ministers have pledged to make it impossible for children in the UK to take, share or view a nude image using their phones. The government will join forces with tech companies so we can work together to make this a reality and better protect young people from grooming, extortion, bullying, harassment and sexual abuse … The government will work with tech companies to develop solutions to image based abuse, expanding on technology already being implemented by British safety tech company Safe To Net, and nudity detection filters already on smartphones … The new legislation will allow the police to target the firms and individuals who design and supply these [nudification] tools. Worryingly, these apps allow users to strip clothes, and produce intimate videos without the consent of those depicted – with devastating and long-lasting consequences to victims. Highly realistic, this technology has led to a scourge of financially motivated sexual extortion and even suicide in some cases. In Spain, the town of Almendralejo was devastated after several perpetrators used these apps to create nude images of twenty children walking to school. Government has also already legislated to criminalise the creation of non-consensual sexual deepfakes, ensuring that offenders face the appropriate punishments for this atrocious harm. Nick Timothy (Con) asks Phillips to confirm that the crimes of the rape gangs were racially motivated. Phillips says she cannot comment on particularly cases. But the government is making grooming an aggravated offence, she says. But she says she accepts that women were targeted for being white, working-class girls. In the Commons Lizzi Collinge (Lab) says she was surprised to hear Katie Lam tell MPs that in Britain people understand the concept of consent. (See 12.52pm.) Every day there are examples of British men not respecting the concept of consent, she says. The Home Office has now published the VAWG plan. It comes in two parts – the strategy, and the action plan. In response to Lam (see 1.02pm), Phillips said that she agreed that data collection about these crimes has not been good enough. She said the government was increasing the number of foreign offenders being deported. But she suggested Lam was ignoring the main problem. What I would also say to [Lam] is, if the only crime that I had to concern myself with halving was that was committed by people who arrive in our country, my job would be considerably easier because the vast majority of the data that I am talking about is around people who were born in our country abusing other people who were born in our country. From every culture, from every creed, I have yet to come across any community where violence against women and girls does not happen. Lam gave the official Tory response to the VAWG announcement when she replied in the Commons to Phillips’ statement. Lam devoted almost all of her time to talking about the alleged risk to migrants posed by migrants. Katie Lam, a shadow Home Office minister, is responding on behalf of the Tories. She says truly protecting women and girls will involve difficult conversations. Not every culture in the world believes that women are equal to men, she says. And when those cultures come to this country, that can cause a problem. She quotes what was said in court by the defence when an Afghan sex offender was being tried. The court was told that the defendant did not understand the concept of consent. She claims that the government has not published full data on crime as committed by people from different nationalities, and by immigration status. She says there are “shocking” variations by nationality. She calls for a debate on whether mass migration is making the situation worse. Phillips thanks government colleagues who have helped with this. She acknowledges that she may have been “slightly annoying at times” as she asked for support on these measures. Phillips says she has only had time to sum up some of the items in the strategy. But, taken together, they show a transformational approach to what the government is doing, she says. Jess Phillips, the safeguarding and VAWG minister, is making her statement to MPs. She starts by saying the government is treating violence against women and girls as the national emergency that it is. She says this strategy is different from previous ones because it will use the entire power of the state to tackle the problem. It has three strands, she says: preventing violence in the first place; stopping re-offending; and supporting victims. On prevention, she says the government is investing £20m to stop misogynistic views being embedded in the first place. She says schools will be given more resources. And teachers will be taught to spot the warning signs. The government wants to make the UK one of the places with the strongest laws protecting people online. She says nudification tools will be banned. Emma Reynolds, the environment secretary, has announced that she is setting up a farming and food partnership board. In a news release, the Department for Environment, Food and Rural Affairs says: Chaired by Emma Reynolds, with farming minister Dame Angela Eagle as deputy, the board will bring together senior leaders from farming, food production, retail, finance and government to take a practical, partnership-led approach from farm to fork to strengthen our food production … The board will focus on removing barriers to investment, improving how the supply chain works and unlocking growth opportunities across different parts of primary production and processing. It will have a clear emphasis on supporting agricultural productivity, homegrown British produce and strengthening food security. Reynolds made the announcement as she published the review by Minette Batters, the former NFU president, into farming profitability. It includes 57 recommendations that the government will consider. Downing Street has indicated that Britain is prepared to share the risks with European allies of using frozen Russian assets to aid Ukraine. At the morning lobby briefing, the PM’s spokesperson was repeatedly asked if the government was willing to accept Belgium’s requests to share the risk of unlocking frozen Russian assets for use in Ukraine. He indicated the Government would, telling reporters: I think it’s evident within the government’s actions that what we want to see is those immobilised assets used to support Ukraine. We believe that delivering these funds sends a very clear signal to Putin that he cannot outlast the support of the UK and our allies, that is what we remain focused on. Part of the VAWG strategy being announced shortly will involve getting schools to teach their pupils more about consent, misogyny and healthy relationships. One person who might not approve is Nick Gibb, the former Tory schools minister. In a memoir published recently, Reforming Lessons: Why English Schools Have Improved Since 2010 and How This Was Achieved, written with Robert Peal, he is critical of interventions like this. He says: On the question of adding non-academic subjects to the national curriculum, calls in the media that ‘schools should really teach [insert favoured issues here]’ are the bane of life of any school reformer interested in raising standards … In 2018, Parents and Teachers for Excellence (a campaign group sympathetic to our reforms) decided to monitor this phenomenon, which they termed ‘curriculum dumping’. That year, they identified 213 such calls for the school curriculum to incorporate new topics, including knife crime, obesity, gambling, litter picking, bushcraft, sadomasochism, Love Island, sign language, the 1819 Peterloo Massacre, revenge porn, tree climbing, trampolining, and, rather extraordinarily, ‘how to swear’. In individual cases, all of these issues (well, almost all) had merit in being known, but taken together, no school in the country has enough hours in the year to cover such a panoply of fleeting media fancies. Many ex-ministers write books, but mostly they focus on politics. Gibb was unusual because he did the same job, on and off, for more than 10 years, and he became a proper expert in his portfolio. As a political memoir, his book is exceptional because it’s a serious book about policy. For anyone at all interested in education, Reforming Lessons is a good read. Severin Carrell is the Guardian’s Scotland editor. Ash Regan, a former Scottish National party minister who defected to Alex Salmond’s nationalist party Alba, faces a two-day suspension from the Scottish parliament for breaching its code of conduct in a row over gender recognition. Holyrood’s standards committee has recommended Regan, who now sits as an independent after quitting Alba some months after losing a leadership contest, be suspended on a Wednesday and Thursday – its busiest two days. That needs to be approved by a full vote in parliament, after the Christmas recess. It ruled she had breached the MSP’s code by posting a claim on the social media site X which attacked the Scottish Green MSP Maggie Chapman, over remarks Chapman made about the UK supreme court ruling on the definition of woman. Chapman has been one of Holyrood’s most vociferous supporters of trans rights; Regan is one of its most vociferous gender critical activists. Regan said on X: “I’ve formally reported Maggie Chapman MSP to the presiding officer and standards committee following her dangerous dismissal of the supreme court’s ruling on the Equality Act as a ‘political attack’. MSPs have a duty to uphold the law, not undermine it.” After considering a report from Holyrood’s ethics commissioner, the committee unanimously agreed this was a breach of part 9.1 of the code of conduct, which bars MSPs from disclosing, communicating or discussing complaints about other MSPs before a report on that complaint has been published. In interviews last week, Lisa Nandy, the culture secretary, played down the prospect of the UK following Australia and banning under-16s from having their own social media accounts. She did not rule out the idea, but she said she did not believe it would be easy to enforce. But, in her interviews this morning, Jess Phillips, the minister for safeguarding and violence against women and girls (VAWG) sounded much more positive about the Australian experience, saying the government would consider it “very closely”. She told Times Radio: What I would say is that you cannot have a violence against women and girls policy that doesn’t look at the online environment, or certainly one that looks at misogyny and the behaviours of boys who grow into men without looking at an online world … The government will be looking very, very closely at what is happening in Australia, and we would always take the best of what is available around the world with regard to the safety and security of children. But Phillips also said the UK had been a “trailblazer” for online safety. Today, when the full policies are announced in the violence against women and girls strategy, you will see that online harm, online harms to children, are very, very much part of that. The employment rights bill has received royal assent, which means it is now the Employment Rights Act and it is law, Lindsay Hoyle, the Speaker, told the Commons this morning. Labour MPs cheered when they heard the news. Richard Adams is the Guardian’s education editor. The British public supports the government’s decision to rejoin the Erasmus youth education and work experience programme, according to snap polling released by YouGov. The pollsters asked 7,300 adults about one element of the scheme – UK students spending “a year at European universities as part of their UK degrees courses without paying extra fees, and vice versa for European students” – and found that 65% would support it and only 12% were opposed, while 22% answered “don’t know”. The good news for the government is that younger people aged 18 to 24 – those most likely to take part – were even more enthusiastic. However the question didn’t note the £570m cost to the UK for one years’ membership, which shadow education secretary Laura Trott described as “nuts”. It also didn’t mention that the Erasmus+ programme includes far more than university students: before the UK left in 2020 schools were its most active participants. The question’s mention of studying “without paying extra fees” suggests that the higher education element will operate as it did prior to 2020, although that remains to be set out, according to university leaders. Jess Phillips’s statement to MPs about the VAWG strategy will start after noon, after the business statement is over. After that, there will be two more ministerial statements – from Luke Pollard, the armed forces minister, on Ukraine, and from Alison McGovern, the local government minister, on local government reorganisation. The crown court backlog in England and Wales has risen to nearly 80,000 cases in a new record high, PA Media reports. PA says: Data published this morning showed the open caseload was 79,619 at the end of September, up 2% from 78,096 at the end of June. It is also up 9% from the same point a year e</x:v>
      </x:c>
      <x:c r="I32" s="12" t="str">
        <x:v>arlier, according to Ministry of Justice figures. The number of cases open for a year or more passed 20,000 for the first time at 20,155 at the end of September, which is up 25% year on year and up 6% from the end of June. Open caseload refers to the number of outstanding cases. Ministry of Justice projections published earlier this month suggested the crown court backlog could reach a high estimate of 125,000 by the end of this parliament under current conditions. David Lammy, the deputy PM and justice secretary, says his plans to limit jury trials will help to reduce this. Commenting on the figures today, Lammy said: This Government inherited a system on the brink of collapse. Victims’ lives are being put on hold as cases are kicked several years into the future. The scale of this crisis means tinkering at the edges is not enough. We simply cannot spend our way out of this mess – only fundamental reform can give the brave survivors of crime fairer and faster justice. Here is Jessica Elgot’s full story about Keir Starmer planning to hold the king’s speech more or less straight after the elections next year for the Scottish parliament, the Senedd in Wales and English councils. They take place on Thursday 7 May. Henry Zeffman from the BBC says the king’s speech will take place either on Tuesday 12 May or Wednesday 13 May. Kemi Badenoch has vowed to scrap green spending to pay for a multibillion-pound fund to rearm the UK, PA Media report. PA says: Accusing Labour of failing to invest in the UK’s armed forces, the Conservative leader has proposed reallocating £17bn to “accelerate” Britain’s “war readiness”. She said: “We must ensure our armed forces are equipped and ready to defend our country, because defence of the realm must be the first priority of any government.” The money includes £11bn from the national wealth fund that is currently allocated to net zero projects, with the fund itself turned into a new national defence and resilience bank. Another £6bn over three years would be taken from the government’s research and development budget and given to the Ministry of Defence to invest in new technology. Alongside investment from the private sector, the Tories said they expected their plan to mobilise £50bn for defence. Shadow defence secretary James Cartlidge said the money would “deliver the drone revolution our armed forces require” and create a “more lethal” military. As well as investing in UK defence firms, the money is expected to be used to build more resilient supply chains, reducing Britain’s reliance on “hostile states” such as China. Labour has previously pledged to raise defence spending to 2.5% of GDP from 2027 and to 3% by the end of the decade. The Tories claim that, together, these measures would fund a £50b “sovereign defence fund”. In a briefing, this is how they explain it. -£6bn (£2bn per annum over the course of this parliament) would be reallocated from the Research and Development (R&amp;amp;D) budget in the Department of Science, Innovation and Technology to the MOD. It is well known that defence technology and innovation can have spillover effects into other sectors, like communications and transport, causing a multiplier effect. -£11bn ringfenced from the national wealth fund (NWF) – which will become the national defence and resilience bank (NDRB). This funding is currently allocated to many of Ed Miliband’s costly eco-projects. We would leave the remainder of financing in the fund for national resilience like water and transport. -Approximately £33bnn of private finance via NDRB mobilisation. The existing NWF target of mobilising £3 of private investment for every £1 of public investment would remain for the SDF – so this could unlock tens of billions of pounds in private investment. In response, a Labour party spokesperson said: The Tories are gaslighting the British public on defence. These are yet more fantasy figures from a Conservative party that cut defence by £12bn in their first five years in power. Look at their record: their time in office starved our forces of funding, drove down morale and left Britain less safe. They did it before, and they’d do it again. Almost 40 Labour MPs have signed an open letter to Keir Starmer describing the government’s plans to limit access to jury trials as madness. In the letter, organised by Karl Turner, who is normally a loyalist, the MPs say: The drastic restriction of the right to trial by jury is not a silver bullet. To limit a fundamental right for what will make a marginal difference to the backlog, if any, is madness and will cause more problems than it solves. The government has a working majority of 167 and so, even if all 39 MPs who have signed the letter were to vote against the government when it legislates for its plans next year, they would not be enough to see it defeated. But there are other Labour MPs who share the concerns of this group, and the government is already under strong pressure to a sunset clause on the plans – meaning the jury trial restrictions were time-limited for just a few years – as a compromise. Ben Quinn has more on the story here. Schools have warned of growing misogyny from pupils towards teachers and a lack of avenues to seek help about concerns over sexually aggressive behaviour, Jess Phillips, the VAWG minister, has said. Jessica Elgot has the story. Here are some more extracts from the statement about the VAWG strategy issued by Claire Waxman, the incoming victims’ commissioner for England and Wales. Here comments about funding were quoted at 9.25am. But other points are worth noting. Waxman says that, while elements of the plan are welcome, it remains to be seen if, overall, it will provide what is needed. While many individual initiatives are welcome, it remains to be seen whether the overall Strategy provides the scale, pace, and leadership required to match the government’s ambition - and truly tackle this emergency. She specifically welcomes the plan to roll out nationally the Child House model for supporting child abuse victims. In terms of specific measures, the national rollout of the Child House model - pioneered by Lighthouse in London - is a welcome step I have long called for. It marks vital progress towards delivering on the recommendations of the independent inquiry into child sexual abuse. There is more about the Child House model here, and more on the Lighthouse here. She also welcomes the expansion of Operation Soteria, a police/CPS partnership to improve the prosecution of rape and serious sexual offences. I also welcome initiatives such as the expansion of Operation Soteria to reduce the re-traumatisation too many victims experience in the trial process. Long after my 2019 rape review, ‘end-to-end’ reform of the justice system for serious sexual offences is finally in sight - but only if the government now delivers on its commitment to independent legal advice for rape survivors, and tackles the long waits for justice. She says plans in the sentencing bill to limit the number of offenders being jailed will undermine the VAWG strategy. Without clear, sustainable investment and cross-government leadership, I am concerned we run the risk of the Strategy amounting to less than the sum of its parts; a wish-list of tactical measures rather than a bold, unifying strategic framework. The Sentencing Bill underlines this lack of cohesion. Victims need confidence that the system will protect them, yet under the proposals in the bill, the reality is that many abusers will avoid prison entirely or benefit from early release - undermining the very safety this Strategy seeks to guarantee. Jessica Elgot is the Guardian’s deputy political editor. Keir Starmer is planning for a new king’s speech after the crunch May elections as a reset moment for the government amid speculation over the prime minister’s future. Senior sources in parliament said planning was under way to end the parliamentary session the week after local elections in England, making it a significantly longer session than normal, and nearly two years since Labour first set out its legislative agenda. Labour is facing a potentially devastating set of results in England, Wales and Scotland, with the possible loss of hundreds of council seats to Reform and the Greens in England as well as defeat for the first time in Wales, where Plaid Cymru and Reform are leading in the polls. In Scotland, the Scottish National party are polling on course to maintain power despite pre-election hopes that Labour’s Anas Sarwar could become first minister. Critics of Starmer’s leadership have repeatedly named May as the moment when would-be leadership challengers could call for him to stand aside. The last king’s speech was in July 2024, weeks after Labour won the general election, but a combination of parliamentary rebellions, international and economic turmoil and defeats in the House of Lords has meant the government needs more time to complete the legislation. The relatively late end to the session will raise some hopes among supporters of assisted dying that it may be possible to complete the bill, which will fall if it does not pass by the end of the session. They expect many opponents will try to use procedure to talk out the private members’ bill and bar it from progressing. Further changes to the House of Lords are among a number of measures expected in the king’s speech, including introducing a mandatory retirement age of 80. Good morning. The government is finally publishing its violence against women and girls (VAWG) strategy. In its manifesto Labour said it wanted to halve VAWG within a decade, and so this is a vital policy area. Publication of the strategy has been delayed three times. In the Commons on Monday, in response to an urgent question on this, Jess Phillips, minister for safeguarding and VAWG, said the delays were down to her. “It is entirely my fault because, with every iteration, the strategy was not ambitious enough. I could have done it more quickly, and then it would not have been as good,” she said. Although the document is being published today, the VAWG strategy is being promoted via a budget-style, week-long media strategy. We have already had announcements form the Home Office covering extra spending for abuse victims, specialist NHS help for abuse victims, and all police forces introducing specialist rape and sexual offence teams. And, overnight, the government has been briefing on plans to tackle misogynist behaviour in schools. Alexandra Topping and Rajeev Syal have the details here. Phillips has been giving interviews this morning and she has described these measures as particularly important because, while other aspects of the strategy deal with the consequences of VAWG, this aspect deals with prevention. She told Times Radio: I’m a bit sick, I have to say, as somebody who’s campaigned on this for many years, of just trying to put nicer plasters onto ever growing scars, and so we’ve got to – the government is really, really focused on the prevention. But how good is the strategy overall? Claire Waxman, the incoming victims’ commissioner for England and Wales, has issued a statement saying that, while the plan contains many welcome measures, potential lack of funding is “deeply concerning”. She says she is worried it could end up as “less than the sum of its parts”. She says: Ultimately, the success of this strategy hinges on whether delivery partners are equipped to succeed. Early indications around funding are deeply concerning. The strategy introduces welcome measures in schools and the NHS which will, by design, drive up disclosures and referrals to police and victim services. Yet frontline services are already overstretched and struggling to meet need, and the criminal justice system remains in crisis. Funding is critical. Driving up demand without increasing capacity puts victims at risk and threatens to destabilise the very partners the strategy relies upon. This concern is heightened by the lack of meaningful consultation. Victim services are not an optional extra to this strategy - they must be the backbone of it. Without clear, sustainable investment and cross-government leadership, I am concerned we run the risk of the strategy amounting to less than the sum of its parts; a wish-list of tactical measures rather than a bold, unifying strategic framework. Here is the agenda for the day. 9.30am: The Ministry of Justice publishes its latest figures on the courts backlog. 9.30am: Emma Reynolds, the environment secretary, takes questions in the Commons. 11am: Jeremy Corbyn, the former Labour leader, and John McDonnell, the Labour MP, speak at a press conference held by relatives and supporters of the Palestine Action-lined hunger strikers. After 11.30am: Jess Phillips, the VAWG minister, makes a statement to MPs about the government’s plan to tackle violence against women and girls. Morning: Kemi Badenoch is on a visit in east Hampshire. Noon: The Bank of England announces its decision on interest rates. The government is also making announcements via 13 written ministerial statements, covering police funding, the cost of the government’s response to the Covid inquiry, the Minette Batters review of farm profitability, and the inquiry into conditions at the Manston asylum centre. If you want to contact me, please post a message below the line when comments are open (normally between 10am and 3pm at the moment), or message me on social media. I can’t read all the messages BTL, but if you put “Andrew” in a message aimed at me, I am more likely to see it because I search for posts containing that word. If you want to flag something up urgently, it is best to use social media. You can reach me on Bluesky at @andrewsparrowgdn.bsky.social. The Guardian has given up posting from its official accounts on X, but individual Guardian journalists are there, I still have my account, and if you message me there at @AndrewSparrow, I will see it and respond if necessary. I find it very helpful when readers point out mistakes, even minor typos. No error is too small to correct. And I find your questions very interesting too. I can’t promise to reply to them all, but I will try to reply to as many as I can, either BTL or sometimes in the blog. Share</x:v>
      </x:c>
      <x:c r="J32" s="12" t="str"/>
    </x:row>
    <x:row r="33" ht="110" customHeight="1">
      <x:c r="A33" s="12" t="n">
        <x:v>30</x:v>
      </x:c>
      <x:c r="B33" s="12" t="str">
        <x:v>NEWS-guardian_api-8e547ee6efe6</x:v>
      </x:c>
      <x:c r="C33" s="12" t="str">
        <x:v>UK politics: Farage insults female reporter as Braverman says Reform UK wants to scrap Equality Act – as it happened</x:v>
      </x:c>
      <x:c r="D33" s="12" t="str">
        <x:v>https://www.theguardian.com/politics/live/2026/feb/17/reform-farage-shadow-cabinet-local-council-elections-labour-starmer-latest-news-updates</x:v>
      </x:c>
      <x:c r="E33" s="12" t="str">
        <x:v>data/raw/news/text/NEWS-guardian_api-8e547ee6efe6.txt</x:v>
      </x:c>
      <x:c r="F33" s="12" t="str">
        <x:v>data/raw/news/text/NEWS-guardian_api-8e547ee6efe6.txt</x:v>
      </x:c>
      <x:c r="G33" s="12" t="n">
        <x:v>47673</x:v>
      </x:c>
      <x:c r="H33" s="12" t="str">
        <x:v>Nigel Farage has unveiled the first part of Reform UK’s frontbench team, saying it shows that the party is no longer reliant entirely on him – while also warning that he will not tolerate any dissent from his colleagues. Keir Starmer is facing a mass resignation of Labour councillors in one of England’s poorest areas over a “betrayal” of funding for children in care. Unemployment in the UK has risen to 5.2%, the highest level in nearly five years, while wage growth continues to slow, raising the prospect of another cut to interest rates in the spring. A Cheshire council leader is being urged to resign after it emerged he had written a letter backing a new town of 20,000 homes for the area, which led to it being listed on the government’s list of proposed sites and has since sparked a huge backlash. For a full list of all the stories covered on the blog today, do scroll through the list of key event headlines near the top of the blog. Here is John Crace’s sketch of Nigel Farage’s press conference. And here is an extract. Meet the Fockers. The shadow cabinet from hell. Rejects, losers and deadbeats. A freak show. A tribute act. Reform have often been called a one-man band. The Nigel Farage party. So to counter this narrative, Nige took over Church House in Westminster and turned it into a tacky gameshow set. A remake of The Weakest Link. All to parade his new top team. The lucky men and women whose one job is to try not to fall out with one another in the next few years. No chance. Farage took centre stage; despite pretences, this was still all about him. His team were here entirely at his whim. Without him they would be nothing. The spotlight would remain on him throughout the 75-minute presentation. His appointees would only get their turn under lights for their five-minute introductions. Then they would be cast back into the shadows. Start as you mean to go on. The Gorton and Denton byelection takes place a week on Thursday. Here is a round-up of some of the latest news and comment from the campaign. Owen Jones has written his Guardian column on what he learned on a visit to the constituency, and he says he found a mood of despair. Walk the streets of Gorton and Denton now and the resulting draining of trust is easily discernible. Labour took half the vote here in 2024. Now its coalition is splintering in two directions at once: towards Zack Polanski’s Greens on the populist left, and Nigel Farage’s Reform UK on the Trumpian nationalist right … What should really frighten anyone invested in the future of democracy is the level of angry disengagement on display here. Some of those I spoke to made clear they had given up on voting: that they now had a solidified contempt towards any politicians. These are citizens that the Greens’ brand of populism has yet to convince. After so many years of living standards and public services in crisis, the hope that sustained so many people has shrivelled. There is frustration, some apathy, but most obviously despair – and if that despair hardens, it could carry this country into far darker territory. Once trust has been eroded, as is evident here, no one can be sure what happens next. Hope Not Hate, which campaigns against the far right, says in a blog post those campaigning for Matt Goodwin, the Reform UK candidate in the constituency, include “a former Britain First activist, a former Reform parliamentary candidate who promoted antisemitic conspiracy theories on social media, and the party’s interim campaign manager in Tameside who has used the n-word and minimised the Holocaust”. In response to the report, Goodwin said he rejects extremism. The Green candidate Hannah Spencer has rejected a challenge from Goodwin to a head-to-head debate. She told him: Matt, we literally just debated in the BBC studio and last week at the Manchester Evening News hustings. It’s not a game of the best of three. It sounds like you’re concerned you didn’t come across very well and want another go. I’m not sure anyone wants any more of your hot air and I’m focusing my time now on knocking on doors to talk about what really matters to the people of Gorton and Denton Samir Jeraj has written a report for Hyphen on the battle for the support of Muslim voters in Gorton and Denton. He found that “many local Muslims still hadn’t made up their minds, while others felt alienated by parliamentary politics altogether”. Here is an extract. One notable political absence is that of the Workers Party of Britain, the populist party led by George Galloway, which won a council seat in the area and 10% of the vote at the last general election. The party has announced that it will not contest the by-election and will instead lend its support to the Greens. “I think Gorton and Denton is one of those grounds that are unpredictable at the moment,” says councillor Shahbaz Sarwar, who represents the Workers Party for Longsight. “That’s one of the reasons why I pulled back. “When we looked at the scenario, we thought: there’s so many of us on the left and there’s one on the right. Are we going to divide our votes and are we going for the same pockets? And the answer was yes.” Paul Burnell has a write-up of the BBC’s byelection debate. Lord Ashcroft has carried out focus groups with former Labour voters in Gorton and Denton and he says the expect Reform to win. In his write-up, he says: Focus groups are clearly not a quantitative exercise, but it was notable that whichever party they intended to support (and with a couple of weeks of campaigning still to go) most of our participants expected Reform to win the by-election, possibly by some margin: “I don’t think it’s going to be as close as people think. I think there are going to be secret Reform votes as well.” Some said this expectation actually made it easier for them not to stick with Labour: “Reform are going to win. That’s why I’m voting Green. I would rather fail and know I’d been true to myself than vote tactically.” The broadcaster Michael Crick says Channel 4 News will tonight be broadcasting a story based on material contained in his biography of Nigel Farage published some time ago. He says: When Nigel Farage tried to become a Tory MP. On C4News tonight, Gary Gibbon tells the story - based on my biography - of how in 2004, while a Ukip MEP, Farage secretly met a senior Cons MP &amp;amp; a Surrey councillor, seeking their help to defect &amp;amp; get picked for a safe Tory seat. Uplift, a group campaigning to support the transition to renewable energy, has accused Richard Tice, named today as Reform UK’s business and energy spokesperson, of promoting a Trumpian fantasy. Commenting on Tice’s attack on net zero politicies, Uplift’s deputy director Robert Palmer said: Tice is peddling a Trumpian fantasy. The geological reality is that after 50 years of drilling the UK has now burned most of its gas. Government projections show our reliance on imported gas is set to rise from 55% today to more than two-thirds by 2030, and over 90% by 2050. More drilling won’t make a dent in that. What will is, accelerating the transition away from fossil fuels. Reform continues to mimic Trump. Like the US president they are enthralled to the oil and gas lobby. The party is stuck in the last century - actively trying to block cheap renewable energy and denying that climate change is happening despite the evidence all around us. Chris Osuh is a Guardian community affairs correspondent. Labour risks losing loyal Black voters for “not talking” about racial equality, Diane Abbott has said, paying tribute to the late civil rights leader Jesse Jackson. Abbott, the country’s first Black woman MP, told the Guardian that Jesse Jackson’s message of racial equality was still relevant to today, and yet the “Labour party and Keir Starmer don’t talk about racial equality at all.” She added: Jesse wasn’t afraid to talk about racism, and I think if we don’t talk about racism, if we don’t challenge it, then the danger is something like Reform, it will just get stronger and stronger. Abbott said former Downing Street chief of staff Morgan McSweeney “was very much of the opinion we had to chase the Reform vote” and that she hoped that his departure marked a turning point for the Labour party, at a time when it risks losing votes to the left. Asked if she feared Labour risked losing Black voters, who were most likely to vote Labour in 2024, she said: I think so … If people can’t see the Labour party speaking up for them, they’re going to sort of move away from the Labour party. It depends where you are, but certainly in London, to the Greens. Speaking of Jackson, she added: He really is an inspiration to Black activists and politicians in the UK, certainly my generation of Black activists. What he taught us was to be brave – he had to be brave seeing his mentor, Martin Luther King, slaughtered in front of him. And to speak your mind – I’ve always spoken my mind, even when it gets me in trouble. Here is our story about the death of Jesse Jackson by Melissa Hellmann and Martin Pengelly. At his press conference this morning Nigel Farage, the Reform UK leader, said that a poll out later would show that Rupert Lowe, the former Reform UK MP who has now set up a new party, Restore Britain, has very low name recognition. (See 12.24pm.) Farage was probably referring to the figures in this story just published by GB News. The report by Jack Walters says: Fewer than one-in-10 British voters can identify Great Yarmouth MP Rupert Lowe, a new poll conducted exclusively for GB News has revealed. Polling firm JL Partners found Mr Lowe’s visibility has dropped from 14 per cent to just eight per cent in the 10 months after his expulsion from Reform UK in March 2025. Reform UK voters also struggled to correctly identify Mr Lowe when shown a picture of the former Brexit Party MEP, with the proportion jumping from 71 per cent last March to 86 per cent. GB News employs Farage as a presenter. The steep rise in universal credit (UC) claimants in recent years has been driven mainly by people moving from older benefits rather than brand new claims, figures show. The Press Association says: The Department for Work and Pensions has for the first time published a breakdown of the proportion of claimants who have been switched to UC from so-called “legacy” benefits, such as income support and jobseeker’s allowance. The total number of UC claimants in Britain stood at 8.34 million in December 2025, up by almost a million from 7.36 million 12 months earlier. Data published today shows that more than three-quarters of this increase (775,790) was due not to new claims, but instead were people who moved onto UC from other benefits. The government has said the roll-out of UC across Britain should be completed this year, with any claimants still on legacy benefits due to be moved to UC by March. Sam Freedman, the political commentator who worked as a policy adviser in the Department for Education when Michael Gove was secretary of state, is not impressed by the decision to make Suella Braverman Reform UK’s education spokesperson. He says: Giving Braverman the education brief is quite a choice for Reform. I was on an education commission with her once before she went completely mad and she knew absolutely nothing at all. Keir Starmer has paid to keep a personalised pair of cufflinks given to him by Donald Trump during the US president’s state visit last year, the Press Association reports. PA says: The prime minister purchased the gift, which would otherwise have been held by Downing Street, for his teenage son, the Press Association understands. Details released by the Cabinet Office show Starmer received the cufflinks along with a personalised necklace and a golf club from the president, while his wife was given a pair of cowboy boots. He initially paid to keep the necklace while the other presents were listed as retained by No 10, but an updated register of ministers’ interests on Tuesday showed he had bought both items of jewellery. Starmer and his wife, Victoria, hosted Trump and his wife, Melania, at Chequers, the prime minister’s country retreat, in September following the president’s stay with the King and Queen at Windsor Castle. They presented the president with a ministerial red box and gave the first lady a silk scarf. Ministers must declare any gift they receive worth more than £140 and either hand it to their department, or pay the difference between the value and the £140 threshold to keep it. It is not hard to see why Nigel Farage reacted so badly when confronted with the question from Anna Gross from the Financial Times. (See 1.07pm.) She asked if British voters really wanted to see US Ice-style deportation units operating in this country. But her main question, addressed to Suella Braverman, the new Reform UK education spokesperson, was what her message would be to people worried about the party’s commitment to state education given that all five people on the platform today – now the party’s core leadership team – were educated at private schools. Gross was highlighting the fact that, although Reform UK is now a party getting much of its support from working-class voters, in parliament its MPs are far posher than those from the other parties, if educational background is taken as a key class metric. This is confirmed by statistics set out in the recently published The British General Election of 2024, the definitive guide to what happened in the summer before last and the latest in a series of academic election studies going back to 1945. The 2024 volume is written by Robert Ford, Tim Bale, Will Jennings and Paula Surridge, and this is what the say about the education background of the 2024 intake. Close to two-thirds of MPs elected in 2024 attended a comprehensive state school – the highest ever recorded, though still well below the 90% figure among the electorate at large. Fewer than a quarter of MPs from the three largest Britain-wide parties were privately educated, a record low and down from over a third in 2015. And the school often seen as the pinnacle of privilege – Eton, alma mater of David Cameron and Boris Johnson – has never been less present in the corridors of power. The current parliament contains just four Old Etonians, down from 11 in 2019, 19 in 2015 and 53 in 1979. That said, the educational experiences of different parties’ MPs remain distinctive – and predictably so. While a narrow majority of Conservative MPs attended state schools for the third parliament in a row, the share of privately educated Tories actually rose in 2024 and continues to be much higher than for the other main parties. Labour MPs have been overwhelmingly state-educated since at least the 1970s, and Lib Dem MPs since the 2000s. By contrast, three out of the five Reform UK MPs were privately educated, making the populist rightwingers fond of railing against an out-of-touch establishment the only party with a majority of privately educated MPs. With little shift in the mix of educational backgrounds within each party, the overall jump in state-educated MPs has been driven by the turning of the political tides, as state educated Labour and Lib Dem challengers replaced privately educated Conservatives. Five Reform UK MPs were elected in 2024, and 60% of them were privately educated. Since then two of them have left the party: Rupert Lowe, who was privately educated, and James McMurdock, who wasn’t. But the party has gained five MPs: Sarah Pochin, Danny Kruger, Robert Jenrick and Suella Braverman (all privately educated), and Andrew Rosindell (who was state-educated). Kruger went to Eton. That means six out of eight Reform UK MPs – or 75% – are now privately educated. (The other two who are privately educated are Farage himself and Richard Tice; Lee Anderson was state-educated.) As this chart from The British General Election of 2024 shows, for the Conservative party the figure is 46%. The book is invaluable, as well as being a good read; it is the one election book that will stay on my desk for good. Labour has described Reform UK as a “top team of failed Tories”. In a statement released after the Reform UK press conference, Anna Turley, the Labour chair, said: Farage’s top team of failed Tories spent over 3,000 days inflicting untold damage on our country in government, trashing our economy, hammering families’ mortgages, and leaving our borders open. They failed Britain before – they’d do the same again under Reform. Today’s appointments clearly reveal that neither keeping our nation safe nor tackling NHS waiting lists are priorities for Farage or Reform UK. Ed Miliband, the energy secretary, has said that Richard Tice’s “extreme and dangerous” views mean that he is not fit to be in charge of business and energy in a Reform UK government. And, if Tice did get the job, his policies mean bills would “skyrocket”, Miliband says: 1/ Reform’s energy surrender plan would sell out our energy security to fossil fuel interests, trash the countryside with fracking, cost hundreds of thousands of clean energy jobs and cause bills to skyrocket. 2/ Richard Tice is an avowed climate sceptic who wants to “wage war” on good British jobs. Someone with such extreme and dangerous views should never be put in charge of Britain’s energy security. A reader asks: In today’s Q and A, Nigel Farage has claimed the government made untrue claims about the Covid vaccine. [See 1.12pm] Would you be able to remind us who the minister in charge of Covid 19 vaccine deployment was? And what they are up to these days? Great question. It was, of course, Nadhim Zahawi. The TUC has accused Reform UK of wanting go make workplace discrimination legal. Responding to Suella Braverman saying that Reform UK would repeal the Equality Act (see 11.43am and 12.42pm), Paul Nowak, the TUC general secretary, said: It’s official – Reform UK think discrimination should be legal. Scrapping the Equality Act would be a sledgehammer to hard-won rights working people fought for over generations. If you’re discriminated against because you’re a woman, black, disabled, pregnant or gay – that’s fine with them. This is a blank cheque for bad employers to mistreat their staff. And it wouldn’t stop there. Scrapping the Equality Act would just be the start. From ripping up equality protections, to backing fire-and-rehire, to opposing a ban on zero-hours contracts, Reform UK have made it clear whose side they’re on – and it’s not working people. Daisy Cooper, the Lib Dem deputy leader, has issued a statement about the Reform UK press conference. Echoing what the Conservative party said (see 11.57am), Cooper said: This Reform-Tory ‘Fifty Shades of Blue’ love-in is fooling no one. Robert Jenrick voted for Liz Truss’s economic disaster of a mini-budget, now he wants to do the same damage to the economy all over again. Nigel Farage is welcome to give his colleagues new name badges but it won’t change the opinion of the country – that Conservatives, current or former, are totally unfit to govern. Q: There has been a measles outbreak in London. Do you support the MMR vaccine and agree it should not be part of a culture war? Farage said: “Yes, absolutely, 100%.” He said he had always thought vaccines had done “a hell of a lot more good than harm”. But he said that, during Covid, peopl were told the Covid jab meant they would not catch Covid again, or could not pass it on, and that “simply wasn’t true”. He said the government at the time “told us that while they knew it wasn’t true”. Anna Gross from the Financial Times asked a two-part question at the press conference: about whether Reform UK would create an Ice-style migrant deportation unit, and about all five of the people on the platform having been educated at private schools. Nigel Farage responded. He said sarcastically that he “loved” the FT; the day after the Mandelson story broke, its front page carried a story about a Reform councillor in Kent, he said. He said there was no point addressing Gross’s question. “Just write some silly story,” he told Gross. Farage has got form for patronising and insulting female journalists in this way. (As well as patronising, Farage’s response was unfair. The FT pursued the story about Mandelson’s links with Jeffrey Epstein more aggressively than almost any other UK news organisation.) Q: What do you think of Matt Goodwin, your candidate in Gorton and Denton, suggesting women who do not have children should be taxed more? Farage said he would not want to see anyone taxed more in these circumstances. But he said he could see the case for linking tax breaks to having “quite a few children”. Q: Do you think Andrew Mountbatten-Windsor should face a police investigation? Farage said “clearly” he should. But he also said he wanted to learn more about Peter Mandelson’s links with Russia. Farage said that he did not accept that state involvement in some industries – a policy Reform UK favours – was “socialist”. Jenrick backed this up, saying he did not accept that reindustrialisation was socialist either. UPDATE: Farage said: I don’t think state involvement in strategic industries is socialism. There’s nothing socialist about saying that the British government should maybe take a stake in some of these strategic industries. That’s not nationalisation, far, far from it. And Jenrick said: There’s nothing socialist about saying that our economy should be concerned about salvaging strategic industries like steel or carmaking. We’re losing those strategic industries now. Q: Reform UK wants to increase the birth rate. But Suella Braverman is talking about getting rid of the Equality Act. If you get rid of those protections, will it lead to fewer women having children? Suella Braverman said she wanted to get rid of the Equality Act to get rid of the “pernicious, divisive notion of protected characteristics”. But that did not mean she wanted to get rid of all employment protection, she said. Q: Do you want to reduce the proportion of the economy devoted to services? Richard Tice said he wanted to grow the whole economy. But he said high energy prices had contributed to deindustrialisation. That has been an “absolute disaster”, he said. He said he would like to see growth back at 3 or 4% per year. Q: Zia Yousuf hinted at the weekend that he would favour a pact with the Tories, if that was needed to take on a progressive alliance of Labour, the Lib Dems and the Greens. Do you agree? Farage said that was not his view. In parties, sometimes people disagree, he said He went on: Look, I’ve no intention of doing a deal and shaking hands with people that I believe to be utterly dishonourable. And that is how I view the Conservative Party. He said he felt “betrayed” by what the Tories did on Brexit after 2019. I’ve been in business a long time. I do lots of deals. Some are successful, some are failures. But you know what I do? I look people in the eye. I shake their hands because I trust them. I do not trust this Conservative party. He said that Kemi Badenoch was “facing both ways at the same time” on Labour cancelling local elections – opposing the policy nationally, while allowing Tory councils to ask for elections to be delayed. Q: Rupert Lowe claims Restore Britain is now polling at 10%. Farage says polling out later today will show that Lowe’s recognition is “not very high at all”. So the claim that he is at 10% is “utter rot”, he says. He goes on: He won’t be on 1% anywhere. Not even probably in Great Yarmouth. Farage welcomes the news that some Chagossians have returned to the Chagos Islands. Their removal from the islands in the late 1960s was “almost a crime against humanity, frankly”, he says. He has posted about this on social media. Farage also welcomes the involvement of Adam Holloway, the former Tory MP who is now a member of Reform UK. As GB News reports, Holloway was with the Chagossians as they landed. Q: Are you worried about the threat posed by Restore Britain, the party set up by your old friend Rupert Lowe? Farage says Lowe was not really a friend. He tried to sue Farage. He says “there is only one proper brand of centre-right politics in this country”, and that is Reform UK. He says people like Lowe think they can copy the success of Reform UK. But “it just it just isn’t as easy as that”. He says Lowe favoured the “mass deportation of entire communities”. What he was proposing went “way beyond the point of reasonableness, of decency, of morality”. That is why Reform UK got rid of him. Q: You have not appointed a shadow foreign secretary. Is that because you are keeping that available as a bargaining chip to potential defectors? Farage says there are “very few” people on the frontline of Tory politics that he would be interested in taking as defectors. But he says he is still talking to potential Labour defectors. Q: With the SNP likely to win in Scotland, and Plaid likely to do well in Wales, do you think that if you form a government, one of your first jobs will be to keep the UK together? Farage says when Brexit happened, it was claimed that would lead to the break-up of Britain. That did not happen. Q: What do you feel about Nadhim Zahawi, who recently defected to your party, complaining about someone on the street looking dodgy. Was Zahawi being too precious? Farage says people in London who claim that crime has never been lower should get out of their chauffeur-driven cars. He says he thinks Reform UK will win the next mayoral election in London because of the state of crime in the city. Q: The Tories are describing your party as “a tribute act to the old Conservative party”. How do you respond? Farage says, after the local elections, the Tories will cease to exist as a national party. The questioner was referring to this comment from Kevin Hollinrake, the Tory chair, released within the past 20 minutes. Hollinrake said: After months of infighting and leaks, Nigel Farage has unveiled a front bench dominated by ex-Conservatives - a line-up that looks more like a tribute act to the old Conservative party than a credible alternative. Even now, some are already eyeing their next career move, while others who were clearly expecting promotion have been left out in the cold. Today’s underwhelming announcement proves Reform remains a one-man band. Only the Conservatives, under Kemi Badenoch, have the depth, experience and serious plan to Get Britain Working Again. Q: You have fallen out with many of the people who have worked with in the past. Won’t that happen again? Farage says he has worked with some people for 20 or 30 years. In a reference to Rupert Lowe, he says there are people who think they can easily do what he does. He suggests Lowe’s new party will soon fail. Q: What do you say to Reform members who see their party being taken over by ambitious Tories? And have you ever run anything that was not a one-man band? Farage says he has been successful in politics. He has set up organisations with specific purposes; getting us out of the EU, getting the country back on track. This is different, he says; it is about “creating a machine for government”. In the past his popularity and the party’s were different. But now they are past that phase, he says. If I was hit by a bus tomorrow, Reform has its own brand, Reform has its own identity, and now Reform has its own senior characters with their own departments to lead. So I’m enormously proud of that. Q: How are you going to ensure that you don’t have the same psychodrama problems the Tories had? Farage says it is very simple; if people behave badly, that won’t be allowed, he says. Q: Why don’t you hold byelections when people defect? Farage claims that, of the last 200 defections, only two have resulted in byelections. And he says he does not have time for byelections. He restates his claim that the next general election will take place next year. Farage is now taking questions. The first comes from Chrstopher Hope from GB News, who asks why there is no defence spokesperson, and no roles for Lee Anderson or Sarah Pochin. Farage says he can’t win; only yesterday, he was accused of running a one-man band. Braverman ends by claiming diversity politics is out of control. She would abolish the equalities department, she says. (In fact, there isn’t a government equalities department. There was a Government Equalities Office, but now it is the women and equalities unit in the Cabinet Office.) UPDATE: Braverman said: Why does no one in this Government seem to care that it’s white working-class boys who have the worst educational outcomes in our country today? Do you know what a Reform government will do? Well, on day one, we will get rid of the equalities department, we will scrap the equalities minister. And we will repeal the Equality Act, because we are going to work to build a country defined by meritocracy not tokenism, personal responsibility not victimhood, excellence not mediocrity, and unity not division. Braverman is speaking now. She says schools are in crisis. Across our schools, a quiet crisis has taken hold. Violence and disorder have eroded the authority of teachers. Too many teachers now face to face the fear of intimidation and assault in the classroom. Discipline, once the backbone of education, has been weakened in the name of progressive ideology. At the same time, the foundations of knowledge, literacy and numeracy have been undermined by this Labour government. Changes to offset a dumbed down curriculum are all replacing excellence with mediocrity in some classrooms. Children are taught to view Britain with shame rather than pride, to focus on grievance rather than gratitude. They talk more about gender ideology than biological fact. This is not education as it should be. Braverman says she helped establish the successful Michaela community school. And she say too many young people are going to university. The truth is that many of our young people have been sold a </x:v>
      </x:c>
      <x:c r="I33" s="12" t="str">
        <x:v>lie about university, wasting three years of their lives on Mickey Mouse courses, all while we have a chronic shortage of nurses, builders, and care workers. The system is broken. So I tell you what we need. Instead of Tony Blair’s 50% of young people going to university, this is what we need; we need Nigel Farage’s 50% of young people going into the trades. Farage says the final appointment is Suella Braverman, the former Tory home secretary. He says she will take on education, skills and equality. She is itching to get on with this brief because … millions of parents all over this country are in a state of despair about what their children are being taught at school. [And there are] far too many young people being sent to university and being lumbered with heavy debts without any benefit to them in the workplace. Farage says Zia Yusuf will be “shadow home secretary”. And he will focus on both legal and illegal immigration. Yusuf starts by claiming that “one in every 25 people wandering around in Britain today arrived in the last five years”. He says, as the son of immigrants, he knows the contribution that immigrants can make. He goes on: But we have to be honest. The sheer scale of immigration over the last three decades has broken Britain. More people have turned up on our beaches, uninvited in the last seven years, than stormed the beaches of Normandy on D-Day. And those people, instead of being detained and deported, have been given free accommodation, free meals, free access to health care, free taxis, free leisure activities at the expense of the British people to the tune of tens of billions of pounds every single year. And that’s just illegal immigration. If we talk about legal immigration just since 2010, the equivalent of the populations of Edinburgh, Leeds, Sheffield, Nottingham, Stoke, Bristol and Cardiff have been added to our populations. So is it any wonder why it’s so difficult to get a GP appointment? Why everyone feels unsafe? Because violent criminals are let out of jail because of overcrowding and we don’t have enough prison places. Why tens of thousands of people to our eternal shame as a country are forced to wait more than two days in accident and emergency? Yusuf describes mass immigration as “the most profound betrayal of the British electorate in history”. He says, if he is home secretary, Reform UK will stop the boats, implement the Operation Restoring Justice programme, taking the UK out of international treaties, and tackle “radical Islam”. He will “ensure that if you come to this country with the goal of upending and usurping our laws, you will be deported forcibly”. Farage confirms Robert Jenrick is his “shadow chancellor”. Jenrick says the economy is not working. We have had decades of mismanagment, he says. But this Labour government “is in a league of its own’. He says Labour’s “crazy energy policies” are a problem. And there have been tax rises worth £60bn, because Labour “have not got the courage to tackle our ballooning welfare bill”. He says people do not have enough money to pay for things like taking their kids out at the weekend. He thanks Farage for giving him the opportunity to take on the “wrecking ball” that is Rachel Reeves. He claims he will produce the most comprehensive plan of any party to revive the economy. He will work on this with people with business experience. He claims no one in the Labour cabinet has that experience. He goes on: Nigel and I are going to be saying more about this tomorrow [they have already scheduled a press conference] but I’ll just end by saying this. Together we are going to build an economy that serves alarm-clock Britain; the people who got up early this morning to go to work to look after their family, the people who want a hand up, not a handout, people who just want to get on in life, who want to feel better off. And there’s no shame in that. People like my dad, Bill, who left school at 16, became an apprentice, set up a small business. People like those I grew up around in Wolverhampton and represent now in north Nottinghamshire. Decent, hardworking, family oriented, community oriented, patriotic Brits who just want to get on. Richard Tice is speaking now. He says he is qualified for this post because he has worked in business creating millions for shareholders. He says the proposed new business department would cover housing. He says he would reindustrialise Britain. And he would also set up a sovereign weath fund. I’m going to be talking this time next week in the Midlands in great detail about this, a sovereign wealth fund that backs British companies, that buys and promotes British products and that helps ensure that we build hundreds of thousands of affordable homes in our towns, our rural areas and our cities. This is how we make real progress. Farage starts with Richard Tice, the deputy Reform leader. He says he will be deputy PM if Reform form a government. And he will also lead a Department of Business, Trade and Energy. Farage says this will be “a new super economics and business department, in many ways modelled on what the Germans did after world war two”. Farage says he is looking for three things in potential shadow cabinet appointees: youthful energy; experience in government; and expertise. He says: We then need people who are genuine experts in their area to take junior ministerial positions because frankly, the lack of real world experience in government is being felt by every business in the land. Farage says at the time of the election he said he would establish a toehold in parliament, and then replace the Tories as the opposition to Labour. He says Reform UK has now led in the last 200 opinion polls. It has an average lead of 9 to 10 points, he says. Nigel Farage is speaking. He starts by saying that 4.6m voters will get the right to to vote in the local elections because of his party. That is a “big win” for his party, he says – and for democracy. The veteran reporter John Sweeney has announced he is writing a book about Nigel Farage. I am writing a book on Nigel Farage for @headlinepg. No holds will be barred. Nigel has said of me that I caused him “more misery than any other in my 25 years in politics”. Hello Nigel. Out in September. The Reform UK press conference is about to start. There is a live feed here. The Commons business committee could investigate Andrew Mountbatten-Windsor’s work as a trade envoy, its chair, Liam Byrne, has said. Byrne, a Labour MP and former cabinet minister, told the Today programme this morning that “nothing is off the table” and “MPs are not in the market for letting anything slip through the cracks”. Referring to allegations that, as a trade envoy, Mountbatten-Windsor shared information relating to trade policy with Jeffrey Epstein, Byrne said: The committee’s not had a chance to reflect on these allegations because recess means Parliament isn’t sitting this week. My task this week is to make sure that the committee’s got options in front of them when they meet on Tuesday for how we might or might not take this investigation forward. Obviously, we can’t and don’t want to compromise a police investigation. We’ve got quite strict rules about sub judice and getting involved in things that may come before the courts, but this is obviously a matter of huge concern, and I’m going to make sure that my committee has got the full options available for how we take our investigations forward when they convene next Tuesday morning. Byrne said he did not want to “pre-judge where the committee is going to go on this at this stage”. But, when asked on the programme if it could potentially ask to speak to the former prince, he said: “At this stage, all I can say is, nothing is off the table.” He added: This is something we’re going to take acutely seriously, and I can guarantee you that MPs are not in the market for letting anything slip through the cracks. Mountbatten-Windsor, who served as the UK’s special representative for trade and investment between 2001 and 2011, has always denied any wrongdoing. Stephen Kinnock, the care minister, was giving interviews this morning in the hope of promoting a government announcement that will lead to 150,000 disabled adults getting an income boost of at least £400 each year. That is because the minimum income guarantee – the amount of money that working-age adults who receive social care are allowed to keep, before they start having to contribute to the cost of their care – is rising by 7%. In its news release, the Department of Health and Social Care explains: Government is increasing the amount that working age adults who receive social care must be able to keep after paying for home care (known as the Minimum Income Guarantee) by 7% from April – strengthening this safety net to ensure that people have enough for daily expenses and helping to ease financial pressures. This is the largest above-inflation uplift in more than a decade and means working-age adults receiving care in the community will have more money left over for everyday essentials such as food, heating and bills. Those eligible for the disability premium, an additional amount for people with greater disability needs, will keep up to £510 more per year. The government has also announced that it is spending £723m on the disabled facilities grant next year – money available to help older and disabled people adapt their homes so that they can carry on living independently. Kinnock said: We are determined to not only reform adult social care but do it in a way that helps some of the most vulnerable people in society with the daily pressures they face. From April, more than 150,000 disabled adults will keep hundreds of pounds more each year - putting extra money back into their pockets to help with everyday costs. At the same time, we are putting more money into funding life-changing home adaptations so older and disabled people can live safely and independently. These steps are part of our wider plans to build a National Care Service rooted in quality, fairness and dignity for all that use it. For adults over the age of 65, the minimum income guarantee is rising by 3.8% from April. A minister has sought to defend Steve Reed, the local government secretary, against opposition calls for him to resign over the U-turn on postponing May’s local elections. Stephen Kinnock, the care minister, said Reed was doing “an excellent job”. Kinnock was doing an interview round on behalf of the government this morning and, asked about Reed’s position, he told Sky News: Steve Reed is doing an excellent job as secretary of state, pushing through the Pride in Place programme, pushing through renters’ reforms, bulldozing all of the bureaucracy and regulations that stops us building things in this country. Steve is doing an excellent job as secretary of state and he will continue to do that and to deliver for the British people. Kinnock also told LBC government legal advice originally said a delay was justified. He went on: That legal advice has now changed. That is not ideal. I’m not going to stand here and pretend to you that it is, but we’re a government that works with the rule of law. In the Times, Max Kendix and Oliver Wright say that one factor that led to change of heart was the fact that, while governments had in the past delayed local elections on a case-by-case basis, Reed had argued that this round of elections was relatively pointless anyway. They report: There was another difference to the previous year as well. Steve Reed, the local government secretary, had been actively promoting the idea of cancelling elections this year before he’d announced which areas, if any, would be covered. In The Times, Reed said the public would support cancelling “pointless” elections to “zombie” councils — calling them “time-consuming”. Sources suggest these kinds of statements contributed to a final assessment by lawyers. They came back to ministers in recent days with a stark warning: if you go ahead with delays, you may well have to fight Reform UK in court, and there is a good chance you will lose. Yesterday’s decision means that Labour and the Conservative party are now braced for even bigger losses in the local elections. In the i, Will Hazell reports: According to a poll by JL Partners for The Telegraph, Labour is forecast to lose control of six councils due to elections which will now proceed: Blackburn with Darwen, Cannock Chase, Exeter, Preston, Thurrock and Worthing. And a report in the Financial Times quotes Prof Sir John Curtice, the leading elections expert, as saying the biggest impact of the U-turn will be on the four county councils — Norfolk, Suffolk, East and West Sussex — three of which are currently controlled by the Conservatives. “Those are large councils where all the seats are up for grabs, and these are the type of areas that should mimic where Reform did well last year,” Curtice told the paper. Unemployment in the UK has risen to 5.2%, the highest level in nearly five years, while wage growth continues to slow, raising the prospect of another cut to interest rates in the spring. Tom Knowles has the story. Most people in a Reform UK cabinet would not be career politicians, Zia Yusuf has said. Today the party will announce what it calls some “shadow cabinet” appointments and the most prominent is likely to be Robert Jenrick as Treasury spokesperson. Less than 18 months ago Jenrick was runner-up in the contest to be Conservative party leader. But Yusuf told Times Radio this morning that ex-Tories would not dominate a Nigel Farage cabinet. Yusuf said: I can tell people listening to this that the majority of our parliamentary class will be people who are fresh to politics. I think the majority of Nigel’s cabinet, if we win and he’s the prime minister, will also have people who are not career politicians. Farage has repeatedly talked of his desire to give cabinet jobs to people who are not MPs and who have experience outside Westminster. His appointees could be given peerages, but Farage has also floated the idea of appointing some ministers who do not sit in parliament. This is constitutionally permissible, but has only happened in the past very rarely. Yusuf himself is expected to be named today as the party’s home affairs spokesperson. Yusuf was critical of Jenrick on social media before his defection to Reform UK, and it has been claimed that he has mixed feelings about having the former shadow justice secretary as a colleague. But Yusuf told Times Radio that Jenrick was an asset to the party. He said: I’ve gotten to know Robert quite well. And I speak to him almost every day. He’s a thoughtful, serious man. I think he does believe clearly the things that he has talked about, and he got extremely frustrated inside the Conservative party. And he is somebody who is already adding value in terms of helping with his experiences that he had in government. Good morning. Nigel Farage, the Reform UK leader, is holding a press conference today where, according to the party, he will be “announcing members of his shadow cabinet”. In Westminster politics only the official opposition (the Conserative party, for this parliament) has a shadow cabinet, but other opposition parties sometimes use the term and, given his poll ratings, it is not hard to see why Farage thinks he has a better chance of forming the next government than Kemi Badenoch. Farage is expected to announce four appointments. Robert Jenrick, who only defected from the Conservative party recently, is expected to be appointed Treasury spokesperson. Richard Tice, the party’s deputy leader, is expected to be given responsibility for business and energy, and Zia Yusuf, the party’s head of policy, is expected to be given the Home Office portfolio. There will also be a fourth appointment, but there has been no proper steer as to what this will be. Here is Jessica Elgot’s preview story. Speaking at a rally last night, Farage said that these appointments would show that Reform UK was no longer a “one-man band”. He said: I think the moment to properly move away from the potential criticism that we’re a one-man band has been there now for a few weeks, and that’s why I’m doing this. Am I concerned? No, I’m relieved actually. I’m relieved that other people are taking up these big areas, and from [reporter’s] perspective, on a given issue, you will know who to call. The press conference starts at 11am in London. There is not much else in the diary for today, but I will be covering other politics too, including the ongoing reaction to yesterday’s U-turn on the cancellation of local elections, which Kiran Stacey covers here in our overnight story. If you want to contact me, please post a message below the line when comments are open (between 10am and 3pm), or message me on social media. I can’t read all the messages BTL, but if you put “Andrew” in a message aimed at me, I am more likely to see it because I search for posts containing that word. If you want to flag something up urgently, it is best to use social media. You can reach me on Bluesky at @andrewsparrowgdn.bsky.social. The Guardian has given up posting from its official accounts on X, but individual Guardian journalists are there, I still have my account, and if you message me there at @AndrewSparrow, I will see it and respond if necessary. I find it very helpful when readers point out mistakes, even minor typos. No error is too small to correct. And I find your questions very interesting too. I can’t promise to reply to them all, but I will try to reply to as many as I can, either BTL or sometimes in the blog.</x:v>
      </x:c>
      <x:c r="J33" s="12" t="str"/>
    </x:row>
    <x:row r="34" ht="110" customHeight="1">
      <x:c r="A34" s="12" t="n">
        <x:v>31</x:v>
      </x:c>
      <x:c r="B34" s="12" t="str">
        <x:v>NEWS-guardian_api-8f21ed1fa60a</x:v>
      </x:c>
      <x:c r="C34" s="12" t="str">
        <x:v>Dominic Cummings to leave No 10 with immediate effect  – as it happened</x:v>
      </x:c>
      <x:c r="D34" s="12" t="str">
        <x:v>https://www.theguardian.com/politics/live/2020/nov/13/dominic-cummings-boris-johnson-coronavirus-covid-19-latest-updates-live</x:v>
      </x:c>
      <x:c r="E34" s="12" t="str">
        <x:v>data/raw/news/text/NEWS-guardian_api-8f21ed1fa60a.txt</x:v>
      </x:c>
      <x:c r="F34" s="12" t="str">
        <x:v>data/raw/news/text/NEWS-guardian_api-8f21ed1fa60a.txt</x:v>
      </x:c>
      <x:c r="G34" s="12" t="n">
        <x:v>55648</x:v>
      </x:c>
      <x:c r="H34" s="12" t="str">
        <x:v>After an exciting evening we are now closing the blog, thank you for following developments with us. BBC’s Newsnight’s take on the reported acrimony between Boris Johnson and his advisers. Boris Johnson accused Dominic Cummings of briefing against him and Carrie Symonds, his fiancee, during a tense 45-minute showdown before the adviser’s departure, according to sources. The prime minister’s senior adviser left Downing Street with his belongings in a cardboard box on Friday evening. Lee Cain, Downing Street’s director of communications, was also told to leave. Interesting musing from veteran political journalist Michael Crick. Tomorrow’s Guardian front page. Saturday’s Times front page. Tomorrow’s Telegraph front page. A selection of Saturday’s front pages now, starting with the FT. Downing Street have insisted that Cummings’s departure would not impact Brexit talks. The Prime Minister’s official spokesman James Slack insisted that suggestions the Government could compromise on key principles in the wake of Cummings’s decision to leave were “simply false”. Cummings was widely perceived as the mastermind behind the victorious Vote Leave campaign in the 2016 referendum. Talks on a free trade agreement between the UK and EU have been continuing this week in London and are due to “pause” over the weekend before resuming next week in Brussels. London and the EU are trying to hammer out a post-Brexit trade deal after the current transition period finishes on December 31. Nigel Farage has insisted the exit of Boris Johnson’s top aide from Downing Street means a “Brexit sell-out” is looming. The Brexit Party leader tweeted: “It is well documented that I have never liked Dominic Cummings but he has backed Brexit. “Seeing him leave Number 10 carrying a cardboard box tells me a Brexit sell-out is close.” The BBC is reporting that Cummings will continue to work from home, on issues such as mass coronavirus testing, until the middle of December. The prime minister is said to want to “clear the air and move on”. From the FT’s Sebastian Payne. Whitehall officials think Cummings will turn his fire on Boris Johnson: “Dom is going to have to face up to the fact that after spending years writing millions of words in his blogs, he has achieved nothing in government,” said one ministerial adviser. Conservative MP Andrew Rosindell told Sky News: “I’m worried that it might signal a sell-out on the Brexit deal, but I also feel that Dominic Cummings needed to move on as its all becoming too chaotic in Number 10. Boris needs a big relaunch for 2021.” Former Lib Dem leader Tim Farron gives his reaction. The FT’s Jim Pickard has tweeted: “I’m told there is a blog coming. Spads [special advisers] are preparing about how to respond,” said one official who witnessed the day’s dramatic events. “It’s really the last days of Rome in here.” Former deputy prime minister Lord Heseltine, president of the European Movement UK, said: “In an interview in March, I forecast Dominic Cummings would be gone by Christmas. I can think of no man who has done so much harm to this country in so short a time. “He has left a generation to pay the price of Brexit.” Guti Harri, former adviser to Boris Johnson said, Cummings had to go. He told ITV: “Most of the public should have never heard of Dominic Cummings but they do because he imposed laws on the rest of us that he ignored himself. And went on then to treat us as idiots giving the most preposterous excuse for his behaviour and thinking we were mad enough to take it. You can’t have someone at the heart of public life who treats the public with contempt.” A Labour source on Cummings’ departure. Dominic Cummings is back at his London home after leaving Downing Street and appeared at his side door to receive a package. He was holding his young son and asked journalists not to film as he opened his door. Senior MP Sir Roger Gale welcomed the news of Dominic Cummings’ imminent departure. I would like the Prime Minister to see this as an opportunity to muck out the stable and get in the team of people he really needs and deserves behind him,” he told the BBC. Reports are emerging that Cummings and Cain may have been placed on gardening leave until mid-December. On the big political story in town, SNP Westminster leader Ian Blackford said: “Boris Johnson’s most senior advisers are abandoning the Prime Minister like rats on a sinking ship - just as the UK faces a devastating extreme Brexit, a second wave of coronavirus, and a growing Tory unemployment crisis. It tells you everything you need to know about this arrogant, incompetent and self-serving Tory Government that they are ditching their responsibilities - at the exact moment their reckless decisions are causing the maximum damage to people across the UK. “If the Prime Minister had a shred of integrity he would pack his own bags and go with them. His tenure has been beset by abysmal failure, utter incompetence, and the alienation of Scotland and the other devolved nations. “Scotland has been completely ignored by Westminster under Boris Johnson. We now face the prospect of an extreme Brexit, a Tory power grab, and the worst economic crisis in decades. It’s no wonder that the growing majority of people agree that the only way to protect Scotland’s interests is to become an independent country.” Twitter has been a livelier platform than on a normal Friday night. Gavin Barwell, former chief of staff to then-Prime Minister Theresa May, tweeted this: Sir Edward Lister will take on the role of chief of staff for an interim period, succeeding Dominic Cummings, pending a permanent appointment to the post, a Number 10 spokesman said. The former home secretary, Amber Rudd, has tweeted this. Cummings’ rise to political prominence came as part of Michael Gove’s team, but it was his role as campaign director at the official Brexit group Vote Leave which boosted his public profile. This may have been helped by the portrayal by Benedict Cumberbatch in a Channel 4 drama about the campaign, which played up his role in covering a red bus with the hotly-disputed 350 million-a-week for the NHS claim. After the Brexit vote, Cummings became a folk hero to many who voted to Leave, and he was hired by Boris Johnson as senior adviser at Number 10 when he became Prime Minister in the summer of 2019. The appointment of the abrasive former campaign director raised eyebrows in Westminster, especially given he had been found to be in contempt of Parliament earlier in the year for refusing to give evidence to MPs investigating misinformation, and was a noted critic of the Whitehall machine. He built a reputation as someone who did things differently, working on his goal of reshaping Whitehall, issuing a recruitment call for data scientists, economists and “weirdos and misfits with odd skills” to shake up the Civil Service. Cummings once described David Davis, the then-Brexit secretary, as “thick as mince, lazy as a toad and vain as Narcissus” in July 2017. In April, Cummings was back in the headlines when it emerged he had been present at meetings of the official Scientific Advisory Group for Emergencies co-ordinating the Government’s response to the coronavirus pandemic. Downing Street insisted there was nothing untoward about his attendance, but opposition MPs and some scientists suggested it risked political interference in science-based advice from Sage. Cummings also drew criticism when he was accused of breaking lockdown rules by visiting his parents’ home in Durham while he was recovering from Covid-19. There are reports emerging that Dominic Cummings and Lee Cain may continue to work for the prime minister for another month. My colleague Peter Walker has the full story on Cummings’ resignation. The FT’s Jim Pickard has tweeted that Sir Eddie Lister will be the temporary successor to Cummings. Conservative MP Sir Bernard Jenkin said it is time to restore “respect, integrity and trust”, which he said have been “lacking in recent months” between No 10 and Tory MPs. “It’s an opportunity to reset how the government operates and to emphasise some values about what we want to project as a Conservative party in government,” the chair of the Commons liaison committee told BBC Radio 4’s Today programme. “I’m not surprised in a way that it is ending in the way it is. No prime minister can afford a single adviser to become a running story, dominating his government’s communications and crowding out the proper messages the government wants to convey. “Nobody is indispensable.” Boris Johnson’s chief adviser, Dominic Cummings, stepped down from his role with immediate effect, rather than waiting for the end of the year, the BBC is reporting. The broadcaster said the aide had spoken to the prime minister earlier today where it was decided it was best for him to resign immediately. #DominicGoing is currently trending on Twitter. Lib Dem leader, Ed Davey, has responded to the Cummings news by tweeting “Not before time.” On Cumming’s reported departure, backbencher Sir Roger Gale told Sky News the former Vote Leave boss had “become a distraction” and a “malign influence at the centre of Downing Street for too long”. It’s right that he should go,” he said, adding: “The sooner he leaves the better.” Theresa Villiers, a former cabinet minister, welcomed the “good opportunity for a fresh start” that will also be marked by Lee Cain relinquishing his role as Downing Street’s head of communications. Dominic Cummings has left Downing Street this evening for good, a government source told Sky News. The government adviser was seen carrying boxes away from Downing Street as the BBC reported he had left his role with immediate effect. Conservative MP Tobias Ellwood said: “Let’s move a little bit away from EastEnders and more to the West Wing.” It follows reports that Cummings was expected to leave his position by the end of the year. He had insisted “rumours of me threatening to resign are invented”, adding his “position hasn’t changed since my January blog” when he said that he wanted to make himself “largely redundant” by the end of 2020. The government’s science advisers have suggested that, after the English lockdown ends on 2 December, new restrictions will be needed that are stricter than those that were in place before it started. That’s because, if England just returns to the tier regime in place before 5 November, the virus will start spreading again, they say. (See 2.08pm.) The rate of increase of new coronavirus infections in England appears to be slowing, data suggests, although the death toll is expected to remain high for weeks to come. Conservative MPs have hailed news of Dominic Cummings’ departure from Downing Street, saying they hope it could mark a change of approach in No 10. A standoff in the Brexit negotiations has been blamed on the factional infighting in Downing Street, as Dominic Cummings confirmed he will leave the government by Christmas. The number of prisoners to have tested positive for coronavirus in England and Wales since the start of the pandemic more than doubled in the space of a month in October, figures reveal. The UK chancellor, Rishi Sunak, has urged fellow Hindus to “follow the rules” during Diwali as he lit small clay oil lamps on the doorstep of his official residence at 11 Downing Street to mark the beginning of the five-day festival of lights. Sonia Khan, the special adviser who was escorted out of Downing Street by police on the orders of Dominic Cummings, has been given a five-figure payoff by the government. That’s all from me for today. But our coverage continues on our global coronavirus live blog. Here is a better version of the picture of Dominic Cummings leaving No 10 with a large cardboard box. From ITV’s Robert Peston There has been a mixed reaction to the plan drawn up by Sadiq Khan, the mayor of London, and the Metropolitan police requiring the force to hire 40% of new recruits from ethnic minority backgrounds. The policing minister, Kit Malthouse, formerly in charge of overseeing the Met when Boris Johnson was London mayor, could not resist pointing out the Labour successor had lifted a policy from the Conservative administration. The plans include new recruits to Britain’s biggest police force having to live in London – a requirement which under Khan had been dropped. Malthouse said: I have consistently pushed for the return of Boris’ London residency requirement so I welcome this change. The former Met police chief Leroy Logan, said: As usual, Cressida Dick fails to acknowledge institutional racism. However, she appears to be realising the problems the Met is suffering from under her leadership and appears to be coming out of a state of total denial. Andrew George, the president of the National Black Police Association, said: The NBPA welcome the admission from the commissioner that racism and discrimination exists in the service. We believe that the majority of officers in London do all they can to keep all communities safe. However, we believe that the force remains institutionally racist which manifests in the systems and processes which work to the detriment of black communities. Sian Berry, a Green party member of the London assembly, said Dick had been slow to realise there had been a problem. She said: The commissioner has consistently taken an attitude that there isn’t a problem in the Met when I’ve challenged her in the past, so I’m glad she is fully signed up to this action plan. I would warn, however, that there is a real risk this action plan becomes a PR exercise aimed at improving people’s perception of the police, without real changes on the ground that make sure every Londoner has true equality before the law. We need to see a real reduction in discrimination and a new respect for human rights, especially for those of Black Londoners. I will wait to see outcomes we can measure and will be scrutinising the evidence at City Hall. The government has updated its coronavirus dashboard. Here are the latest key figures. The UK has recored 27,301 further coronavirus cases. That is well below yesterday’s record high (33,470), but it is still the second highest daily figure on record. As a result of the figures over the last 48 hours, the number of positive cases in the past week is now 9% up on the number in the previous week. A few days ago positive case numbers seemed to be levelling off. Today’s figures will reinforce other findings (see 10.32am) suggesting there was a rise in the number of people being infected in the period just before the lockdown – perhaps because people were making the most of their last chance to go out. The UK has recorded 376 further coronavirus deaths. That is the lowest daily total this week since Monday (194). But there have been 2,829 deaths in the last seven days – a 26% increase on the previous week. A major Covid outbreak at Barlinnie prison has raised serious concerns both for prisoner and staff health, and for prison service transparency, says the Howard League Scotland. The Scottish Prison Service confirmed that 400 prisoners – a third of the jail’s population – were self-isolating, while 205 staff are reported to be on sick leave or isolating. But Howard League Scotland points out that information about the numbers of prisoners testing positive – which leapt to 116 this afternoon – had not been updated on the prison service website for 42 days. The campaigners also point out that, in the midst of a second wave of infections, the prison population has already returned to 93% of its pre-pandemic levels. And in Northern Ireland there have been 607 more coronavirus cases. That is up from 548 yesterday and 595 last Friday. And there have been 11 further deaths, down from 15 yesterday but up from eight last Friday. Public Health Wales has recorded 797 further coronavirus cases. That is down from 867 yesterday and 1,352 a week ago. And there have been 29 further deaths, down from 34 yesterday but up from 13 a week ago. These are from Sky’s Beth Rigby. Labour has suspended a number of members who passed a motion criticising the suspension of Jeremy Corbyn for his reaction to the damning report into antisemitism within the party during his leadership. As PA Media reports, the group from the Bristol West constituency Labour party face disciplinary action over the motion which branded the former leader’s treatment as a “politically motivated attack against the left” of the party. Scotland has recorded 1,357 further coronavirus cases. That is up from 1,212 yesterday and 1,072 last Friday. There are 1,228 people in hospital. That is up from 1,207 yesterday, but slightly down from 1,237 last Friday. And there have been 56 further deaths. That is the second highest daily death figure during this wave of the pandemic, after Wednesday, when 64 deaths were announced. On Friday last week, 31 deaths were announced. NHS England has recorded 246 further coronavirus hospital deaths. The details are here. That is down from 317 yesterday, but up from 218 a week ago. The Welsh government’s technical advisory group (TAG) has said there is new evidence that schools being open is associated with higher rates of Covid infection in the general population. It calls for other measures, such as older pupils wearing face coverings in classrooms and mass testing in schools and colleges, to be considered. A TAG report published today said: Additional modelling and empirical data ... indicates that there is now evidence of higher levels of infection and transmission in school-based age groups than previously recognised, a higher rate of asymptomatic transmission, and children are more likely to be the first case in a household. This new evidence indicates that schools being open is associated with higher rates of infection in the population, although the mechanism for this remains unclear (potentially including many factors such as reopening of workplaces, parents returning to work, shops and hospitality, social mixing outside schools). But it also says there is a positive case for schools staying open. There is strong evidence that continuing preschool, school or college attendance is important to support the wellbeing of children and young people in terms of physical, psychological and social needs, to access additional support such as free school meals and SEN support, as well as being instrumental in reducing inequalities in educational outcomes. The report suggests further measures should be considered to reduce transmission in schools. Additional mitigations should be considered including ways of reducing daily face to face contacts to reduce exposure risk, and the possibility of wearing face coverings for older age groups in more circumstances, including on public and dedicated transport. This could even include in the classroom on a risk assessed basis. Consideration should be given to exploring the feasibility of mass asymptomatic testing programmes in school and college settings to enhance infection control and maintain confidence of students, parents and staff. The ONS weekly infection survey (see 12.29pm), which is seen as one of the most reliable guides to the prevalence of coronavirus, now covers all four nations of the UK. Here are the four-nation figures from today’s report which covers the week ending 6 November. In England around 1 in 85 people had Covid, the ONS said. That amounted to 654,000 people, according to the central estimate. That is an increase from 1 in 90 the previous week. In Wales the rate was also 1 in 85, the ONS said. That amounted to 35,300 people, according to the central estimate. That was an increase from 1 in 110 people the previous week. In Northern Ireland around 1 in 105 people had Covid, the ONS said. That amounted to 17,800 people, according to the central estimate. That was a decrease from 1 in 75 people the previous week. And in Scotland around 1 in 135 people had the virus, the ONS said. That amounted to 39,700 people, according to the central estimate. That was a decrease from the figure for the week before, 1 in 110, although that was the figure for a two-week period (because the ONS Scottish data came later, and so it did not have a week-only figure last week). And here is a chart showing different infection rates for the English regions. The number of prisoners who have tested positive for coronavirus in England and Wales since the start of the pandemic more than doubled in the space of a month in October, my colleague Jamie Grierson reports. This slide shows the number of coronavirus cases falling back in most parts of Wales. In Merthyr the rate per 100,000 people is around 420, down from a peak of almost 770. The rate in Wrexham has almost halved to around 150 cases. The only place the trend is up is Ceredigion in west Wales – this is largely due to care home cases. Vaughan Gething, the Welsh health minister, said: “We need to keep building on this.” The government has just released a new batch of papers from Sage, its Scientific Advisory Committee for Emergencies, and one document shows that Sage wants restrictions in England after the lockdown ends on 2 December to be stricter than what was in place when it started. Here is the report (pdf), a consensus statement from SPI-M-O, the Scientific Pandemic Influenza Group on Modelling, which is effectively a Sage sub committee. It is dated 4 November, the day before the lockdown started. At that point SPI-M-O said R, the reproduction number, for England was between 1.1 and 1.3 - meaning the virus was still growing. And it said the growth rate was between 2% and 4% per day. Here are the key quotes. SPI-M-O said that, if England just went back to the restrictions in force pre-lockdown after 2 December, the virus would start growing again. It said: The longer-term outlook depends on both the nature of non-pharmaceutical interventions that are implemented in England after 2 December and policies over the festive period. If England returns to the same application of the tiering system in place before 5 November, then transmission will return to the same rate of increase as today. It said tier 3 measures on their own might not be enough to drive R below 1. In a passage assessing the impact of the three-tier system in place before the lockdown started, it said: Initial analysis shows a clear effect from tier 3 interventions and much less from tiers 1 and 2. It is not yet clear whether tier 3 measures alone are sufficient to reduce the reproduction number below 1. Tier 3 measures were the strictest, involving, among other restrictions, pubs only be allowed to open as restaurants and people in tier 3 areas being advised not to travel outside them. But it said the lockdown should drive R below 1. It said: If well-adhered to, the lockdown measures due to start in England on 5 November are likely to reduce R to less than 1. 24. If this is sustained until 2 December, the number of hospital admissions and deaths would be expected to fall until at least the second week of December. The report also includes projections showing what would happen to hospital numbers and deaths without the lockdown, and what would happen to the figures if the lockdown got R down to 0.6 (purple line), 0.8 (blue line), 0.9 (green line) or 1.1 (yellow line). More than 50 people who attended a student party in Cardiff have been issued with fixed-penalty notices, South Wales police have said. A spokesperson said: South Wales police was alerted to the large gathering at a halls of residence on Friday night [6 November] and on arrival officers found music blaring and dozens of individuals inside. The details of each person were taken on the night, and officers have since worked closely with Cardiff Metropolitan University to retrospectively issue 52 fixed-penalty notices. The Welsh health minister, Vaughan Gething, said those caught needed to think about the risk they were posing to each other and to everyone else they might come into contact with. “I hope they think again about the choices they make in the future,” he said. Theresa Villiers, the former environment secretary and a Vote Leave supporter, has said the departure of Dominic Cummings from No 10 will be “a good opportunity for a fresh start”. She told PA Media: Clearly there are concerns about the dismissive attitude sometimes shown by Lee Cain and Dominic Cummings towards people in government and MPs on the backbenches. And this is an opportunity to move on from that and to have a more collaborative approach. Leading Scotland’s coronavirus briefing, deputy first minister John Swinney began by welcoming “a real piece of bright good news”. He was, of course, referring to the national team’s nail-biting win over Serbia last night, qualifying for a major tournament after more than 20 years, and not the personnel changes at Downing Street. Asked about some concerning scenes posted on social media of relieved fans crowding together, Swinney said he acknowledged that “we are all missing the chance to embrace, to hug”. He went on: We all understand the natural desire to celebrate but the virus is a very real threat to all of our lives and our communities. Although we’re all frustrated and fed up with restrictions and when something comes along like a magnificent football team victory we all want to celebrate ... but we all have to understand that following social distancing rules and facts guidance is critical. Responding earlier to scenes of football fans in an Aberdeen beer garden, Susan Webb, director of public health at NHS Grampian, said: While I cannot comment on these specific circumstances, I can say this: this virus does not rest. It does not take a minute off, much less 90 minutes, extra time and penalties. At the Downing Street lobby briefing the prime minister’s spokesman refused to say anything more about the departure of Dominic Cummings. He would not even say whether Cummings had handed in his notice. All he did was refer to the blog that Cummings wrote in January alluding to his future. For the record, here is the key section. I’ve highlighted the key sentence in bold. We want to improve performance and make me much less important – and within a year largely redundant. At the moment I have to make decisions well outside what Charlie Munger calls my ‘circle of competence’ and we do not have the sort of expertise supporting the PM and ministers that is needed. This must change fast so we can properly serve the public. Cummings also flagged up this passage when he spoke to the BBC’s Laura Kuenssberg about his future. If you are leaving a job, it always less embarrassing if you can say that you were always intending to go anyway. Cummings, of course, has got form for citing previous blog entries to show that events haven’t taken him by surprise. However, unlike in a previous example, in this case he has not had go back to quietly edit his previous work to make him seem more prescient than he was. And here are some more lines from the Downing Street lobby briefing. The prime minister’s spokesman said that a pilot project to test selected visitors to care homes in England for coronavirus will begin on Monday. He said: From Monday we are launching testing pilots across 30 care homes. That will be using various PCR tests and the new lateral flow tests to allow specific families and friends to undertake indoor visits to residents. He said the UK-EU trade talks would resume in Brussels next week after a “pause” this weekend. He said: In terms of where we are, as I’ve said consistently this week, the negotiating teams are working very hard to try to bridge the significant gaps between us. For our part we continue to seek solutions that fully respect UK sovereignty but the familiar difficult issues remain, including on the so-called level playing field and fisheries. He insisted that the post-Brexit transition would definitely end on 31 December. There has been some media speculation about a possible extension. But the spokesman said: Time is in very short supply. The transition period will end on December 31, there is no doubt about that whatsoever. The Welsh health minister, Vaughan Gething, has said there are “positive but early signs” that coronavirus rates are starting to fall. He said it was still too soon for the full impact of the Welsh 17-day firebreak to be felt but flagged up sharp falls in areas that had been hard hit, such as Merthyr Tydfil, in south Wales, and Wrexham in the north. Gething urged people not to “bend the rules” when they went on nights out – for example, by booking two tables and pushing them together. He acknowledged rugby fans would be meeting tonight to watch the Wales v Ireland international but urged people to be cautious, saying: “If we try to go back to normal, we will lose the progress we have made.” Gething confirmed there had been talks between the government and the military over testing the whole of Merthyr – but said no decision had been made on this. On Christmas, Gething said the hope was there could be “common travel arrangements” covering the whole of the UK. Downing Street has rejected suggestions that the departure of Dominic Cummings means the government will soften its stance in the UK-EU trade talks. The Belgian MEP Philippe Lamberts suggested this earlier. (See 12.15pm.) But, when asked if this was correct, the PM’s spokesman said: Absolutely not. That is simply false. The government’s position in relation to the future trade agreement negotiations is unchanged. The government has released its latest estimate for R, the reproduction number, revealing it to be between 1.0 and 1.2 for the UK, down from between 1.1 and 1.3 last week. For England, the latest estimate puts R at between 1.1 and 1.2. Last week the R number for England was between 1.1 and 1.3. The number of new cases is growing by between 1% and 3% per day in the UK, the government says. Last week that growth was estimated to be b</x:v>
      </x:c>
      <x:c r="I34" s="12" t="str">
        <x:v>etween 2% and 4% a day. As always, the estimates reflect the situation over the preceding couple of weeks, given time lags in the range of data used. Nonetheless, they suggest a slight slowing in the growth of the pandemic. Indeed, while R remains at or above 1 in most regions of England, the latest estimates suggest it is between 0.9 and 1.1 in the north-west. The rate of increase of new coronavirus infections in England continues to slow, according to the latest data from the Office for National Statistics. The findings join other datasets in suggesting the spread of the disease is now slowing across the country, although prevalence remains high. The latest results reveal that around one in 85 people in the community in England – around 654,000 people – had coronavirus between 31 October and 6 November, with around 50,000 new cases per day. The previous week the survey suggested 618,700 people, or one in 90, had the virus. While a potential slowdown in the increasing infection rate is good news, there are reasons for concern. The ONS data reveals that while the percentage of those testing positive is decreasing in older teenagers and young adults, and levelling off in other groups under 35 years, it is increasing in those aged 35 and above. The suggestion of a slowdown chimes with data from the Covid symptom study, led by researchers at King College London, that yesterday put the reproduction number below one in all regions of the UK. However, other data suggests the situation may be more complex: yesterday new results from the React-1 study led by Imperial College, London suggested there was a large rise in prevalence in mid-October compared with the month before, followed by a sharp fall and subsequent sharp rise before lockdown began. The team said that meant they were not yet confident that infections had levelled off, or might continue to grow. The Welsh health minister, Vaughan Gething, has announced an extra £15.7m to nearly double the contact-tracing workforce in Wales for the winter. The funding will increase the number of contact-tracing staff in Wales from 1,800 to 3,100 in time for an expected rise in demand in December and through to the end of March. A new all-Wales team is also being set up to support local teams when they have a surge in cases. Gething said: Contact tracing is a vital element of our test, trace, protect strategy to stop the spread of the virus. The contact-tracing system in Wales has performed well so far, with over 90% of contacts being traced successfully since it started. We have used the firebreak period to review test, trace, protect to enable us to maintain and improve performance as we head into what we expect will be a difficult winter, with the possibility that cases will increase. This extra funding will allow local contact-tracing teams to increase the number of contact tracers and advisers for the busy winter period. We are also creating a new all-Wales tracing team to help our local teams manage surges on days when there are particularly high numbers of new positive cases. Philippe Lamberts, the Belgian MEP who has been a member of the European parliament’s Brexit steering group, has said he thinks the departure of Dominic Cummings means Boris Johnson is preparing to accept EU conditions for a trade deal. These are from Agence France-Presse’s Alex Pigman. Nobody should get fixated on getting hold of the Pfizer/BioNTech vaccine against Covid-19, because others are coming along that may be better for some groups than others, said Sir Jeremy Farrar, the head of the Wellcome Trust, and a key member of the Sage group of government scientific advisers. What is important is to build up public trust and understanding of the vaccines and work out how best to use them, he said in an interview for a series from the Royal Society of Medicine. He said: What’s important at the moment is that countries don’t get fixed on only going to be delivering this one vaccine, because they are all still in development. We will learn other things, I believe in the next month, of the AstraZeneca Oxford vaccine, probably the Moderna vaccine, maybe other vaccines, that we’ll learn the results of, including from China, between now and the end of the year. I think the important thing is we set up the logistics, and the communication strategy. And we start to build, I hope, the degree of trust in the public in these vaccines, [so] that we don’t become narrow-minded, and think it’s all about the Pfizer vaccine, or it’s all about one of the others. There may be advantages in cold chain and logistics. Some vaccines may work better in senior people, others may work better in certain communities. We’ve got to retain the idea of a portfolio here rather than get fixed on any one. The departure of Dominic Cummings has inspired the FT columnist Robert Shrimsley to dig out his copy of Machiavelli’s The Prince. From the Times’ Steven Swinford Joe Anderson, the mayor of Liverpool, told BBC Breakfast this morning that around 90,000 people have been tested for coronavirus in the city’s mass testing regime introduced last Friday - with 430 testing positive and going into isolation. He said: Four hundred and thirty people are not spreading the virus, it means that we can break the chain of infection. Since we’ve been into tier 3 we had 680 people per 100,000 that were positive in the city, we’ve now got that down ... to around 300 per 100,000, so that’s a positive move and a positive step for us. Anderson also said of the 430 who tested positive, only around 200 showed any symptoms. Liverpool, which has has a population of around half a million, currently has 38 test centres, but Anderson said he hoped that would increase to around 45 from Monday. He also said he hoped to get people tested twice during the next month. From Sky’s Joe Pike The former Financial Times editor Lionel Barber has been tweeting about Dominic Cummings this morning. (See 8.43am.) That seems a good excuse to flag up a revealing reference to Cummings in The Powerful and the Damned, Barber’s recently published and highly readable diaries from his 14 years as editor. It’s from March 2016, when Cummings and Vote Leave colleagues had lunch at the FT ahead of the referendum. Barber suggests that saving £350m a week (the Vote Leave Brexit claim), even if true, would be a drop in the ocean compared to the cost of Brexit. The diary goes on: Cummings says he has no idea what damage such a shock might do. The figure is unknowable and the ordinary person in the street would have little understanding anyway. The enormity of the faux pas sinks in. Cummings, momentarily flummoxed, says: “This conversation is off the record, right?” I could throw him overboard but offer a lifeline of sorts. “That’s okay, Dominic, we have lots of people come to the FT and show contempt for ordinary people.” The Scottish National party says Dominic Cummings has done “irreparable damage” to the Conservative government. This is from Kirsten Oswald, its deputy leader at Westminster. She said: Boris Johnson’s partnership with Dominic Cummings has caused lasting harm to the UK, and irreparable damage to the Tory government – regardless of whether he finally resigns amid the Downing Street civil war. The Tory prime minister has always been deeply unpopular in Scotland – but his decision to bring the Vote Leave campaign to the heart of the UK government, and impose an extreme Brexit against our will, has completely alienated Scotland. Here’s an interesting question from BTL. Very good question. I can’t say for sure that Biden’s election did not have some impact, perhaps on the timing, but it won’t have been the main reason for the decision to sideline Dominic Cummings/Lee Cain/Vote Leave. I can think of at least three reasons why. 1) It’s been obvious to everyone that No 10, and the government generally, has not been functioning well recently. If you and I can spot that, Boris Johnson can too. 2) The parliamentary Conservative party has for a long time been unhappy with the Cummings regime and there has even been talk recently about letters going to the 1922 Committee chairman demanding a leadership contest. At the moment that is just idle talk. But ultimately MPs can get rid of a prime minister, and their views cannot be ignored for ever. 3) The appointment of Allegra Stratton as press secretary was a clear sign that Johnson no longer wanted to be defined as a rightwing Brexiter. Allegra used to work for the Guardian. I have not asked her what Johnson told her when he asked her to do the job, because I would not expect her to tell me, but my guess is that he said, after Brexit, he wanted to govern in the manner he did as London mayor (when he was a one nation, liberal Tory). I have no inside knowledge on this, but I don’t think she would have taken the job if she thought she was going to spend all her time as press secretary attacking the BBC and the judiciary, defending harsh asylum measures and cheerleading for a no-deal Brexit. So, pressure for Cummings to go had been building up. But would it have happened this week if Trump had won and rightwing populism was looking a better electoral bet? I don’t know, but quite possibly not. Yesterday the UK recorded 33,470 further coronavirus cases – a huge leap on the figure for the previous day, and by far the biggest daily total on record. At the No 10 press conference Prof Stephen Powis, the NHS England medical director, was not able to offer an explanation for the sudden increase. One theory has been that this was related to the leak of the government’s plans for a national lockdown. On the Today programme this morning Prof Steven Riley, a professor of infectious disease dynamics at Imperial College London, said that the leak theory was “not a good explanation” for the rise in coronavirus cases at the very start of November. Referring to the latest Imperial College React survey, published yesterday, which charts the prevalence of coronavirus in England, and which found an “uptick” in cases at the very end of October and start of November, Riley said: We do observe a slightly unexpected trend of a kind of fall, then a rise, but it’s difficult to ascribe that to any specific factor. I think on that point [the supposed link to the lockdown leak], that’s too late, the day that that news came out is probably too late in the sequence of data we have for it to be a primary driver of the uptick at the end of our study. Based on what we see at the moment, that’s not a good explanation for the pattern we see. But he said it could be that cases rose because people were going out more anyway, guessing that a lockdown was coming. He said: [The increase] could have been ahead of that time [ie, the lockdown leak], so during that week, if people were anticipating lockdown and started to change their behaviour earlier than the day of that event, then that’s possible. In a statement last night, the Department of Health and Social Care did admit that infections went up before the lockdown (implying the rise in positive cases was not just caused by more testing, or more testing in high-Covid areas). Asked for an explanation for the sudden increase, a DHSC spokesperson said: As we have seen throughout this pandemic, there can be daily fluctuations in data so it is important to avoid drawing conclusions from one day’s figures. We must instead focus on the wider trend, which is increasing, particularly in those at highest risk of disease. There was a rise in infections prior to national restrictions being brought in place and it is vital everyone continues to follow the guidance and takes care to wash hands, wear face coverings and reduce social contact – all of which proved to be highly effective in bringing down transmission rates earlier this year. Scotland’s health secretary wanted to suspend freedom of information legislation in response to the coronavirus pandemic, according to internal government emails obtained by the investigative website the Ferret. Jeane Freeman made the request as the government was preparing emergency legislation to deal with the pandemic, in response to a request for ministers to suggest items they felt were “urgently required”. In an email sent on behalf of the cabinet secretary, obtained by the Ferret, Freeman requested the “suspension of FoI legislation in order to allow staff (NHS and local government, but potential to extend more widely) to focus on essential activities”. Emergency legislation passed at the start of lockdown significantly extended the deadlines for public bodies to respond to FoI requests from the public from 20 to 60 working days. In some circumstances the Scottish government could extend deadlines for bodies other than itself for another 40 working days. But a month later, in May, Holyrood scrapped the controversial proposals, with the second wave of emergency legislation reverting the rule back to the original 20-day deadline after opposition MSPs joined forces. The Ferret notes that the emails were revealed after its FoI request was returned more than six months late. It also points out a number of high-profile health stories that have used FoI revelations recently, including a BBC Disclosure investigation into care homes and a Sunday Post exclusive that hospitals had discharged patients to care homes despite them having tested positive for coronavirus. Here are three leading Conservative commentators on Dominic Cummings. Paul Goodman at ConservativeHome says Cummings is “the greatest British right-wing campaigner of our age” but that his achievements in government have been limited. Cummings is right-wing. But he has never as far as we know been a member of the Conservative Party. And he is certainly not a Tory: that’s to say, a believer in the collective wisdom of institutions. Indeed, he can’t see one without savaging it, probably in a blog several thousand words long, as an emperor with no clothes. There is a seething side to his energy and brains – a restlessness, an impatience. He is not in politics, as some MPs of all parties are, for business as usual. Cummings is sometimes thought of as preoccupied with levelling-up. This is not quite right. Rather, he seems to be in the tradition of Corelli Barnett, the military historian who argues that the cult of the gifted amateur among Britain’s governing classes failed the nation in the last two centuries, and helped to collapse British power ... Political campaigning has a single aim: winning. In a modern democracy, governing does not. Rather, it must seek to resolve clashes between different interests. Indispensable to this task is the work of a civil service which was there before you came into government and will still be there when you leave. James Forsyth in the Spectator says Cummings “bent the arc of history”. He says: Dominic Cummings is one of those rare individuals who has bent the arc of history. He has been crucial, if not indispensable, to several key moments in this country’s recent past. His work at Business for Sterling is one of the things that put Tony Blair off attempting to take the UK into the Euro. Even more importantly, it is hard to believe that Leave would have won the 2016 referendum without the brilliant, heterodox campaign that Cummings devised. Forsyth also says that later flow tests (the rapid-result ones) are only being rolled out now in the way they are because Cummings pushed the issue in government. And Fraser Nelson in the Daily Telegraph (paywall), in a column filed before it was confirmed that Cummings was leaving, says he the “Vote Leave model of government – whatever its merits in Brexit negotiation – is failing”. The Tories who have always loathed Dominic Cummings know that they had best be careful what they wish for. As one puts it, “the only thing worse than Boris with Dom is Boris without Dom”. Johnson is no micro-manager and needs someone with incredible work ethic and ability. He’d like his No10 to run as smoothly as Rishi Sunak’s Treasury – and would certainly like his team to include Cummings. But not necessarily run by Cummings. The era of Vote Leave dominance, in other words, is over. Turning away from Dominic Cummings for a moment, Grant Shapps, the transport secretary, gave an important commitment on coronavirus when interviewed on the Today programme earlier. At the Downing Street press conference yesterday Alok Sharma, the business secretary, repeatedly failed to give a clear assurance that supplies of the coronavirus vaccine to the UK would not be affected by a no-deal Brexit (ie, no trade deal). But this morning, when asked if he could rule out any possibility of vaccine imports being disrupted by the failure to strike a UK-EU trade deal, Shapps said he could. He replied: Yes, I can rule that out, for two reasons. First of all, we’ve done an immense amount of work on border readiness, and making sure that we’re able to keep goods flowing. And, even as a back-up to the back-up, as it were, we’ve also signed a freight contract, which is upwards of £100m, to make sure that we are able to get category one goods in, which it won’t surprise you to hear, include things like vaccines. So, even if there are [problems], which we very much hope that there won’t be – and we’ve planned for there not to be – we still have a back-up. And this is from Sarah Wollaston, the former pro-remain MP who defected from the Conservatives to the Lib Dems (via Change UK) over Brexit. Here is some Labour reaction to the departure of Dominic Cummings. From Angela Rayner, the deputy leader From David Lammy, the shadow justice secretary From Jonathan Ashworth, the shadow health secretary Downing Street has not formally confirmed that Dominic Cummings will leave his job by the end of the year. But, unofficially, No 10 sources are saying that the story is true, and that he is going. Here is some response from journalists and commentators to the news that Dominic Cummings will be leaving No 10 by the end of the year. From my colleague Gaby Hinsliff From Mirror’s Pippa Crerar From the Independent’s John Rentoul From ITV’s Paul Brand From the Mail on Sunday’s Dan Hodges From David Skelton, the one-nation Conservatism commentator From Lionel Barber, the former FT editor From Joey Jones, a former Sky deputy political editor and former aide to Theresa May From PoliticsHome’s Alan White From Steve Hawkes, the former Sun deputy political editor From Michael White, the former Guardian political editor The Conservative backbencher Sir Roger Gale has told Sky News that Dominic Cummings was a “malign influence” who was at the centre of power for too long. Jill Rutter, a former Treasury civil servant who now works for the Institute for Government, says the Conservative party should pay for Sonia Khan’s payoff (see 8.05am), not the taxpayer. Jenkin says Boris Johnson needs to appoint “substantial people” to the government. Ministers are very young and inexperienced, he says. Q: Should the PM have a chief of staff? Jenkin says he is sceptical of that idea. He says Margaret Thatcher never had one. But the PM does need people around him who support him and understand what he wants to do. He says Johnson needs someone like the late Sir Simon Milton, Johnson’s deputy for three years when he was mayor of London and someone widely respected as an administrator. On the Today programme Sir Bernard Jenkin, the Conservative backbencher, says the depature of Dominic Cummings offers an opportunity for a “reset” in No 10. It’s an opportunity to reset how the government operates and to emphasise some values about what we want to project as a Conservative party in government. Looking ahead, he says three watchwords are crucial: respect, integrity, trust. Asked if he is making a point about Cummings, Jenkin says he does not want to talk about Cummings personally. “In many ways I’ve got a great deal of respect for him,” he says. He says they worked together at Vote Leave. (They did - although Jenkin was also involved in the failed attempt by the Vote Leave board to get rid of Cummings, an episode dramatised in Brexit: The Uncivil War, the film staring Benedict Cumberbatch.) UPDATE: Jenkin also said he was not surprised Cummings was having to leave. I’m not surprised in a way that it is ending in the way it is. No prime minister can afford a single adviser to become a running story, dominating his government’s communications and crowding out the proper messages the government wants to convey ... Nobody is indispensable. The news about Dominic Cummings’s departure coincides with the revelation that Sonia Khan, who was sacked as a special adviser to the then chancellor, Sajid Javid, by Cummings, has been given a five-figure payoff by the government. My colleague Rajeev Syal has the story here. And here is the statement that Khan has issued this morning following the settlement. Following 14 months of negotiation, I have today reached a settlement with the Treasury, my former employer, and as a result I am no longer pursuing my employment tribunal claim which was due to be heard in London in December. I would like to thank the FDA [the civil servants union] who have supported this action and were instrumental in finding a settlement, alongside their legal advisers Slater and Gordon. I would also like to thank the Metropolitan police service for their support during intense scrutiny and pressure for myself and my family, and my current employer, Cicero/AMO, for their wholehearted backing in the last year. Having reached a settlement of these issues I am now moving on with my life and career. I have a fulfilling job as a consultant, I maintain great affection for the Conservative party and remain a committed Conservative. The party took me under its wing when I was a teen and I feel hugely privileged to have served as a special adviser under the last two prime ministers. Good morning. Dominic Cummings, Boris Johnson’s chief adviser, is set to leave No 10 by the end of the year. The BBC’s political editor, Laura Kuenssberg, got the story last night. As always with Cummings, nothing is ever straightforward and he has not said yet on the record that he is going. He just said, for quoting, that his position had not changed since he said in January that he wanted to make his position largely redundant by the end of the year. But Kuenssberg has also had a conversation with a “senior No 10 source” who said Cummings would be out by Christmas, and this news is being widely reported this morning, including by journalists known to be close to Cummings. Why does this matter? Well, when Boris Johnson ran for the Conservative party leadership, he ran as a relatively mainstream Tory. The only real policy difference between himself and Jeremy Hunt, his main rival, was that Johnson said the UK would leave the EU on 31 October 2019. (It didn’t.) Johnson said nothing about hiring Cummings, the combative and controversial Vote Leave campaign director. Indeed, some MPs were even told that Cummings would not get a job in a Johnson administration. But, then, when he became PM, Johnson promptly installed Cummings as the most powerful aide in No 10, and appointed a large number of Cummings’ Vote Leave colleagues to run policy, and everything else, in Downing Street. In many respects it was a Vote Leave administration more than a Conservative administration. This worked brilliantly for Johnson in the 2019 general election, which he won handsomely with Cummings’ “Get Brexit Done” campaigning focus. But, in administrative terms, the Vote Leave record has been rather different. Even its supporters admit the team has struggled at times to govern effectively. Its critics say it has been a disaster. Which is why the departure of Cummings, following the announcement of his ally Lee Cain’s resignation on Wednesday night, is important; it is likely to mark a reset moment for the government, transforming it into something quite different. Or you could call it “shapeshifting”, as they say in the US. Here is our story on Cummings’ departure. And this is what Grant Shapps, the transport secretary, told Sky News about it this morning. As [Cummings] wrote right at the beginning of the year in his own words, he planned to make himself largely redundant this year with the big thing that he worked on, of course, which was Brexit, coming to an end at the end of the transition period, which is 31 December. Of course, the other big thing is helping to ensure we have the rollout mass testing to defeat this virus. Both these things are on the near-term horizon now. He will be missed but then again we’re moving into a different phase and Brexit will be, we’ve already left Europe, but the transition period will be over, and things move on and advisers do come and go. I will be covering all the reaction to Cummings’ departure this morning. But it’s an important day for coronavirus news too, and I will be covering that as well here. At 12pm we will get the ONS’s latest Covid surveillance survey, and we will also get the government’s latest estimate of R, the reproduction number, and the growth rate. I try to monitor the comments below the line (BTL) but it is impossible to read them all. If you have a direct question, do include “Andrew” in it somewhere and I’m more likely to find it. I do try to answer questions, and if they are of general interest, I will post the question and reply above the line (ATL), although I can’t promise to do this for everyone. If you want to attract my attention quickly, it is probably better to use Twitter. I’m on @AndrewSparrow.</x:v>
      </x:c>
      <x:c r="J34" s="12" t="str"/>
    </x:row>
    <x:row r="35" ht="110" customHeight="1">
      <x:c r="A35" s="12" t="n">
        <x:v>32</x:v>
      </x:c>
      <x:c r="B35" s="12" t="str">
        <x:v>NEWS-guardian_api-8f8e97810c4d</x:v>
      </x:c>
      <x:c r="C35" s="12" t="str">
        <x:v>Covid rules out Boxing Day hunts and parades amid uncertain future</x:v>
      </x:c>
      <x:c r="D35" s="12" t="str">
        <x:v>https://www.theguardian.com/uk-news/2020/dec/26/covid-rules-out-boxing-day-hunts-and-parades-amid-uncertain-future</x:v>
      </x:c>
      <x:c r="E35" s="12" t="str">
        <x:v>data/raw/news/text/NEWS-guardian_api-8f8e97810c4d.txt</x:v>
      </x:c>
      <x:c r="F35" s="12" t="str">
        <x:v>data/raw/news/text/NEWS-guardian_api-8f8e97810c4d.txt</x:v>
      </x:c>
      <x:c r="G35" s="12" t="n">
        <x:v>4757</x:v>
      </x:c>
      <x:c r="H35" s="12" t="str">
        <x:v>Traditional Boxing Day hunts across large parts of the UK have been cancelled due to coronavirus restrictions, with those going ahead elsewhere not parading through town centres prior to their yuletide meet this year for the first time in recent history. The centuries-old activity faces an uncertain future after a number of landowners suspended hunting with hounds on their property amid controversy over private video seminars held this summer by hunting’s executive body, which were infiltrated by activist group the Hunt Saboteurs who claimed they discussed how to create a “smokescreen” for illegal hunting. Forestry England, the National Trust, the Lake District national park, United Utilities, Natural Resources Wales and the Malvern Hills Trust all prohibited trail hunting after police launched an investigation into the footage after the revelations by ITV and the Times. Peterborough city council also banned hunting with hounds on its land in a symbolic vote, despite the Countryside Alliance warning it would set “a dangerous precedent” that could help trigger a domino effect imperilling “large numbers of hunts”. The decision came after Nottingham county council made a similar decision last year, with Cheshire West and Chester council’s executive under pressure to follow suit, while the owner of clothing retailer H&amp;amp;M barred hunts from his 19,000 acres of land across Wiltshire, Berkshire and Hampshire after allegations were made recently about the local hunt. The Ministry of Defence, Duchy of Cornwall, Church of England, the crown estate and other councils have stopped short of stopping hunting on their land but have faced calls to do so from animal welfare groups. Labour has also recently raised the issue in the House of Commons, calling for the 2004 Hunting Act to be tightened to remove loopholes, but the government said it was satisfied the legislation was strong enough. Trail hunting is a legal activity invented after pursuing hounds for bloodsport was made illegal. It involves following a scent along a pre-determined route with dogs to replicate a hunt, but campaigners maintain it provides cover for foxhunting. Amid disruption caused by coronavirus restrictions, hunts in tier-4 England, Scotland, Wales and elsewhere will not be out at all on Saturday, while there is no exemption being made for spectators of the sport where it is going ahead. Foxhunting was provided an exemption under the rule of six regulations, but four weeks of the season was lost in November in England alone due to the nationwide lockdown. Chris Luffingham, director of campaigns at the League Against Cruel Sports, said there was continued evidence of hunts pursuing foxes for sport, and referenced recent kills – although these may not have necessarily been illegal. “Our campaign to deny public land to hunts to prevent them chasing and killing foxes is gathering momentum as a result of the release of the Hunting Office webinars and police investigation into the hunts’ comments,” he said. “We look forward now to other councils tackling the scourge of trail hunting – a smokescreen for the barbaric blood sport of foxhunting – and banning it on their land.” Polly Portwin, head of hunting at campaigning organisation the Countryside Alliance, said: “When the decision was made to move traditional meets away from public areas, the rate of infection of the coronavirus was much reduced and it was hoped that every hunt would still be able to conduct their activities in the usual way, just without the prolonged and popular gatherings before hunting commenced. “The situation continues to evolve and these are difficult times for so many people who have lost loved ones, are missing seeing their families and worrying about their businesses. “Some hunts will not be able to take part in any hunting activities over the festive period, however where people are still able to participate, hunting will provide them with an opportunity to enjoy the countryside in a safe and healthy outdoor environment which benefits both their physical and mental health.” A spokesman for the Hunting Office, the executive body, has said previously: “The purpose of the webinars was to facilitate legal hunting and any allegation that they were organised for any other purpose is incorrect. We will cooperate fully with the police and welcome the opportunity to clarify the situation. “We understand that although the decisions taken will be difficult for those packs affected, there has only been one pack granted a licence so far this season by the National Trust and a small number of hunts that meet on land owned by the Forestry Commission and United Utilities, so it won’t impact the majority of over 200 trail hunts that operate in England.”</x:v>
      </x:c>
      <x:c r="I35" s="12" t="str"/>
      <x:c r="J35" s="12" t="str"/>
    </x:row>
    <x:row r="36" ht="110" customHeight="1">
      <x:c r="A36" s="12" t="n">
        <x:v>33</x:v>
      </x:c>
      <x:c r="B36" s="12" t="str">
        <x:v>NEWS-guardian_api-95d73413bd9b</x:v>
      </x:c>
      <x:c r="C36" s="12" t="str">
        <x:v>Farage: Boris Johnson comments to blame for Trump snubbing UK</x:v>
      </x:c>
      <x:c r="D36" s="12" t="str">
        <x:v>https://www.theguardian.com/politics/2016/nov/11/nigel-farage-boris-johnson-blame-theresa-may-for-donald-trump-snubbing-uk</x:v>
      </x:c>
      <x:c r="E36" s="12" t="str">
        <x:v>data/raw/news/text/NEWS-guardian_api-95d73413bd9b.txt</x:v>
      </x:c>
      <x:c r="F36" s="12" t="str">
        <x:v>data/raw/news/text/NEWS-guardian_api-95d73413bd9b.txt</x:v>
      </x:c>
      <x:c r="G36" s="12" t="n">
        <x:v>2024</x:v>
      </x:c>
      <x:c r="H36" s="12" t="str">
        <x:v>Nigel Farage has redoubled his efforts to become irritant-in-chief to British ministers in the wake of Donald Trump’s election by suggesting their earlier criticisms of the president-elect could have meant he delayed speaking to Theresa May. A day after joking in a radio interview about the idea of Trump sexually assaulting May, Farage said disparaging words from Boris Johnson during the election campaign could have played a part in the delay. Trump and May spoke by phone on Thursday afternoon, but not before the winner of the US presidential election had talked to 10 other world leaders. Asked whether this was a worry for the UK, Farage told the Press Association: “Well, you have to face the facts that there are some very senior members of this administration who have said some very rude things about him.” Pressed if the delayed call was connected to this, Farage said: “You’d have to draw your own conclusions on that. But this president is instinctively Anglophile.” Farage criticised the earlier attacks on Trump by the foreign secretary, PA said. When he was still mayor of London, Johnson had condemned Trump for saying parts of the city were “no-go areas” for police, calling him “clearly out of his mind”. Farage is currently in Florida on a private visit. While some reports have said he hopes to see Trump, for whom he was a warm-up speaker at one campaign event, Farage said he has no plans for the two to meet. Speaking to to TalkRadio from Spain on Thursday before flying to the US, Farage joked about the idea of the US president-elect sexually assaulting May when he met her, saying, “don’t touch her for goodness sake”, before laughing. Asked about the likely behaviour of Trump, who has been accused of a series of sexual assaults, which he denies, Farage added: “If it comes to it, I could be there as the responsible adult role, to make sure everything’s OK.” He also claimed to be “the catalyst” for the rise of Trump and referred to Barack Obama as a “creature” and a “loathsome individual”.</x:v>
      </x:c>
      <x:c r="I36" s="12" t="str"/>
      <x:c r="J36" s="12" t="str"/>
    </x:row>
    <x:row r="37" ht="110" customHeight="1">
      <x:c r="A37" s="12" t="n">
        <x:v>34</x:v>
      </x:c>
      <x:c r="B37" s="12" t="str">
        <x:v>NEWS-guardian_api-97b3a5489c02</x:v>
      </x:c>
      <x:c r="C37" s="12" t="str">
        <x:v>UK Covid: surge testing ordered in two south London boroughs after South African variant found – as it happened</x:v>
      </x:c>
      <x:c r="D37" s="12" t="str">
        <x:v>https://www.theguardian.com/politics/live/2021/mar/10/uk-covid-live-news-coronavirus-test-and-trace-vaccine-pmqs-latest-updates</x:v>
      </x:c>
      <x:c r="E37" s="12" t="str">
        <x:v>data/raw/news/text/NEWS-guardian_api-97b3a5489c02.txt</x:v>
      </x:c>
      <x:c r="F37" s="12" t="str">
        <x:v>data/raw/news/text/NEWS-guardian_api-97b3a5489c02.txt</x:v>
      </x:c>
      <x:c r="G37" s="12" t="n">
        <x:v>45128</x:v>
      </x:c>
      <x:c r="H37" s="12" t="str">
        <x:v>Surge testing is to take place in Battersea and Putney in south-west London following the discovery of the South African variant in the area, the government has said. (See 4.59pm.) Labour has written to Boris Johnson asking him to correct the record after Downing Street repeatedly refused to acknowledge that the prime minister was mistaken when he said the party had voted against an NHS pay deal. The government is coming under mounting pressure to produce a targeted women’s strategy to tackle the unequal economic and domestic impact of the Covid-19 pandemic, as official data exposes the stark differences between the experience of men and women. The EU has conceded that the UK did not ban vaccine exports, as Boris Johnson waded into a row with Brussels by publicly “correcting” the European council president over his claims about British policy. The failure to properly investigate allegations against ministers risks damaging public confidence, Boris Johnson’s former independent adviser on the ministerial code has said. Andy Burnham has criticised the focus of the government’s levelling up strategy, accusing it of adopting a politicised agenda, rather than “needs-led”. As my colleague Maya Wolfe-Robinson reports, the mayor of Greater Manchester warned that the “levelling up” promise was “beginning to lose its way” and could lose support from the public. Describing himself as a “willing partner” to level up Greater Manchester, he told a Lords committee he was willing to work cross-party but feared the government were retreating from the “levelling up” agenda, despite stating it was their defining mission. He said that the prioritisation from the chancellor in his budget last week showed that many towns with high levels of deprivation had been overlooked. The ban on children playing together outdoors in England must be lifted as it is discriminatory and potentially unlawful, lawyers and children’s groups have said. That’s all from me for today. But our coverage continues on our global coronavirus live blog. It’s here. At PMQs Boris Johnson said: “We’ve delivered a 12.8 per cent increase in the starting salary of nurses.” Patrick Worrall from Channel 4 News’ FactCheck has had a look at this claim, and he has concluded: You can technically say that some nurses have had a pay rise in recent years – but only if you ignore inflation and only if you choose the time-frame carefully to leave out years of real-terms reductions that came before. It’s equally true to say that most NHS workers have faced significant real-terms pay cuts over the last 10 years, as their wages did not keep up with the rising cost of living. Scientists have identified a protein in the blood of people with severe Covid that could play a part in the overreaction of the immune system to the virus in the later stages of the disease. The discovery may pave the way for new drugs to help save lives. Some people clear the virus after a week or more. Others progress to severe disease in which their own immune system - instead of fighting off the virus - attacks the lungs and other organs of the body. A team of researchers, led by Imperial College London, Edinburgh and Liverpool Universities, have found that the protein, called GM-CSF, is found in higher levels in people with severe disease. The protein is likely now to be a new target for drugs to dampen down this dangerous immune response. Drugs are already being used to prevent the immune system overreacting. The Recovery trial led by Oxford University in the UK found that a cheap steroid, dexamethasone, saves lives in the sickest patients. It also showed that a drug called tocilizumab inhibits another protein that is found at higher levels in those with severe disease, called Interleukin-6 (IL-6). Over 30% of patients admitted to hospital critical care with Covid were dying in the beginning, which has dropped to just over 12% now, but it needs to come down further, the researchers say. The speed at which vaccines were produced and not historic medical racism is the reason behind vaccine hesitancy, equalities minister Kemi Badenoch said this afternoon. Speaking at the Commons equalities committee on disparities in vaccine take-up, Badenoch dismissed the explanation that historic medical racism was the reason behind uptake in black and minority ethnic communities. She said: The ONS carried out a survey and what it found is the reason for hesitancy are to do with people not trusting the speed at which vaccine has been produced. So that’s across the board. The reasons are not specific to any particular ethnic group. Badenoch told the committee that vaccine uptake among ethnic minority groups is higher in the UK than in other countries. On reasons for vaccine hesitancy, she added: I am also very, very conscious about propagating a line that the NHS is racist, which is fundamentally what this is about. The medical racism that they are talking about is often to do with people interpreting the way they’ve been treated as not being culturally sensitive and having more culturally appropriate guidance. Explaining to people how to deal with people from different backgrounds is something the government is very much funding and very much aligned to. Surge testing is to take place in Battersea and Putney in south-west London, the Department of Health and Social Care has announced. The SW11 and SW15 postcode areas will be covered. This follows the discovery of the South African variant in the area. The DHSC says: Enhanced contact tracing will be used for individuals testing positive with a variant of concern. This is where contact tracers look back over an extended period in order to determine the route of transmission. People living within the targeted areas are strongly encouraged to take a Covid-19 test when offered, whether they are showing symptoms or not. The latest UK Covid figures have been posted on the government’s dashboard. Here are the key ones. The UK has recorded 190 further deaths. A week ago today there were 315 deaths. The total number of deaths over the last seven days is down 35.4% on the total for the previous week. Yesterday week-on-week deaths were down 33.2%, suggesting the rate of decline is accelerating. The UK has recorded 5,926 further cases. A week ago today 6,385 new cases were recorded. The total number of cases over the last seven days is down 20.1% on the total for the previous week. Yesterday week-on-week cases were down 24.5%, suggesting the rate of decline is slowing. Hospital admissions are down 27.8% week on week (although these figures only cover the period until last Saturday, the last date for which UK figures are available). 217,301 people in the UK had their first dose of a vaccine yesterday. That was only a small increase in the total having their first dose on Monday (215,273). But 72,922 people had their second dose of a vaccine yesterday. That is almost double the total for the previous day (38,788), and the highest daily UK total for second doses so far. In evidence to the Commons women and equalities committee Nadhim Zahawi, the vaccine deployment minister, said the UK may have the highest rate of rate of vaccine positivity (support for getting vaccinated) in the world. He said: When I took this job on back in mid-November, I think if you look at the ONS data or other published polls, vaccine positivity was in the high 70s, touching 80%. It’s now at 94% of the UK adult population saying that they are likely or very likely to take the vaccine. I think that is, for your committee, the best measure that the strategy is working, watching that number continue to climb - the highest probably in the world, I think, if I’m not mistaken, in terms of vaccine positivity. The Department of Health and Social Care has published research today that it says shows that lateral flow tests produce fewer than one false positive per 1,000 tests carried out. The accuracy of these tests has become a particular concern for parents because pupils who test positive in a lateral flow test conducted on school premises have to isolate, even if a subsequent PCR test is negative. The research is here (pdf), and the DHSC’s summary is here. Explaining the findings, DHSC said: New analysis published today shows lateral flow tests (LFD) to have a specificity of at least 99.9% when used to test in the community and could be as high as 99.97%. Following the roll-out of millions of LFD tests in the community which has provided real-world data, NHS Test and Trace has been able to conduct further analysis of rapid testing using LFDs. New findings on their specificity, which is a measure of how good the test is at detecting true negative cases, show that for every 1,000 lateral flow tests carried out, there is less than one false positive result. NHS England has recorded 145 further coronavirus hospital deaths. The details are here. A week ago today 204 hospital deaths were recorded. The EU has conceded that the UK did not ban vaccine exports, as Boris Johnson waded into a row with Brussels by publicly “correcting” the European council president over his claims about British policy, my colleague Daniel Boffey reports. No 10 still says it intends to hold regular televised lobby briefings once it’s safe for dozens of journalists to gather in the same briefing room, although many of us suspect that, like other ideas from the Dominic Cummings era, this one will also be quietly ditched. But in the meantime, just so people know what they are missing, here is a transcript of the exchanges at today’s lobby about Boris Johnson’s false claim at PMQs. (See 2.15pm.) AS is Allegra Stratton, the PM’s press secretary, and MH is Macer Hall, political editor of the Daily Express and lobby chairman. Lobby briefings are currently conducted by conference call. Journalists submit questions in advance to the chair, who puts the questions as colleagues listen in. If reporters want to submit further questions as the briefing is going on, they can do so via WhatsApp. I’ve edited this lightly to take out bits where it got very, very repetitive, but nothing of substance has been omitted. MH: Will the PM apologise [for misleading MPs] and correct the record on this? AS: The Speaker addressed it in the house immediately after the shadow health secretary, and the Speaker said that it was a point of clarification, and he regarded it as having been dealt with. MH: Shouldn’t the prime minister clarify it? It’s not really up to the shadow health minister to clarify, is it? AS: The Speaker addressed this, so it’s not about the shadow health secretary. He accepted it as a point of clarification and he regarded it as having been addressed. MH: So [the PM] does accept he was wrong in this case, he did say the wrong thing to the house? AS: The Speaker regards the point of clarification as having been made, and that’s appropriate. MH: This is the third occasion in several weeks that the prime minister has got points of fact wrong in the House of Commons. Does he have a problem with getting the facts right? AS: No, he doesn’t. The Speaker addressed this [etc etc] ... MH: Don’t MPs have a responsibility to clarify their own mistakes? It’s not something that should be left to the Speaker. AS: The key thing is that this was dealt with swiftly and the Speaker, who has enormous respect and authority in parliament, regards it as a point of clarification that has now been dealt with. MH: Does the prime minister think it’s the Speaker’s job to correct the prime minister’s mistakes, and not the prime minister’s job to do that? AS: It’s not a conversation I’ve been able to have with him, because he was in the chamber and we were coming over here. But the Speaker, who has enormous authority in the House of Commons, regarded the point of clarification as having been made ... MH: Isn’t this part of a pattern of behaviour? Doesn’t the prime minister have a slightly casual relationship with the truth? AS: On the specifics of today, the Speaker addressed it, and it was dealt with extremely quickly ... MH: The prime minister walked out and didn’t listen to it, did he? AS: Because prime minister’s questions was finished, and the prime minister left the chamber. There’s nothing unusual in that. The Speaker has already addressed this issue [etc etc] ... MH: Will the prime minister correct the record? AS: On the record is the Speaker saying it’s a point of clarification and it’s been dealt with. MH: Does No 10 accept the prime minister was wrong? Yes or no? AS: The Speaker has dealt with this [etc etc] ... MH: If it’s just an honest mistake, or he was badly briefed, why doesn’t he just say this and apologise? AS: The key thing here is that an authority in parliament, the Speaker, has dealt with this issue ... MH: Shouldn’t the prime minister actually correct the record? AS: The record will show the Speaker has listened to what the shadow health secretary had to say and regards it as a point of clarification that has now been dealt with ... MH: The prime minister doesn’t seem to be concerned about the truth of these matters. AS: The prime minister is concerned about the truth of these matters. He comes to prime minister’s questions, he comes to the chamber frequently, and answers a great number of questions from all sides of the house ... MH: Does the prime minister agree with the ministerial code (pdf) which says “it is of paramount importance that ministers give accurate and truthful information to parliament, correcting any inadvertent error at the earliest opportunity”. Does he agree with that? AS: He absolutely agrees with that in the ministerial code. In this instance, the system worked. Jonathan Ashworth made his point and the Speaker responded ... MH: Do you feel that the prime minister has a problem, that his obfuscation [with issues] does not help him in the public eye ... In the past he said in a public debate “the truth matters” and the public laughed out loud ... AS: No, he doesn’t have a problem at all. The prime minister said what he said in that debate and you saw in the last general election that he was returned to parliament with a huge majority, which reflects the widespread admiration and affection with which he is held by the British people ... Although Stratton argued that the Speaker said after the point of order that he regarded the matter as dealt with, Sir Lindsay Hoyle never said there was no need for Johnson to correct the record. Hoyle just said, after Jonathan Ashworth made his point of order, that it was actually “a point of clarification” and that “that part has been achieved”. By that, Hoyle meant the intervention was over. He did not mean that he thought there was no need for any further clarification or apology from No 10. Last month, after Sir Keir Starmer realised he had been wrong at PMQs when he described Boris Johnson’s claim Starmer had called for the UK to stay in the European Medicines Agency as “nonsense”, Starmer put out a statement admitting his mistake. The Daily Mirror’s Dan Bloom thinks Paul Waugh is being over-generous to Downing Street (see 2.26pm); he thinks No 10 failed 19 times to correct Boris Johnson’s false claim about Labour’s NHS voting record. Here is some more comment from journalists on today’s lobby briefing. From my colleague Peter Walker From Alain Tolhurst from Politics Home From Politico’s Emilio Casalicchio HuffPost’s Paul Waugh has done a count and says Allegra Stratton refused 12 times at the lobby briefing to accept that Boris Johnson was wrong when he told MPs Labour had voted against an NHS pay rise. (See 2.15pm.) The Downing Street lobby briefing has just finished and, to the surprise of reporters, No 10 refused to openly admit that Boris Johnson was wrong when he told MPs during PMQs that Labour had voted against the NHS funding bill (the legislation for a long-term funding package that implied staff would be getting a 2.1% pay increase this year). Allegra Stratton, the PM’s press secretary, said that this had been raised in the Commons on a point of order after PMQs, and that the Speaker, Sir Lindsay Hoyle, saw that as a point of clarification and regarded the matter as dealt with. (See 12.41pm.) Despite being pressed repeatedly, she refused to say in her own words that what Johnson said was wrong. She also refused to apologise for the mistake, and did not accept that the Johnson should correct the record personally. Covid-19 case rates have fallen below the symbolic level of 50 cases per 100,000 people in half of all local areas in the UK, PA Media reports. It says: It is a major turnaround from one month ago, when only six of the 380 local areas were reporting rates under 50 per 100,000. A handful of areas are even recording rates that are now in single figures. The steep fall suggests the various lockdowns in place across the country are continuing to play a key role in reducing the number of new reported cases of coronavirus. The analysis, which has been compiled by the PA news agency, shows that for the seven days to 5 March a total of 190 out of 380 local authority areas in the UK recorded Covid-19 case rates below 50 per 100,000 people. In England, these ranged from 49.7 in Dartford in Kent to 5.7 in South Hams in Devon. UPDATE: From Ian Jones from PA Media Dave Penman, general secretary of the FDA union, which represents senior civil servants, told the committee on standards in public life this morning that the ministerial code is “not fit for purpose”. He said: I think that is the real big challenge around the ministerial code, we are really using something that is not fit for purpose. The Foreign Office has released its readout of the meeting this morning with the EU diplomat summoned for a reprimand over Charles Michel’s claim about the UK supposedly blocking vaccine exports. It suggests it was a “meeting without coffee” affair (Westminster-speak for a bollocking). A Foreign Office spokesperson said: This morning a senior representative of the EU’s delegation to the UK was summoned to a meeting with the permanent undersecretary of the Foreign Commonwealth and Development Office [Sir Philip Barton] to discuss the issue of incorrect assertions in recent EU communications. Nurses are almost certain to get more than 1%. Boris Johnson did not say that, but it is the most obvious takeaway from his most uncomfortable PMQs in recent weeks. Johnson may be contemptuous of mainstream liberal opinion - and he has written enough ropey newspaper columns to know that Fleet Street outrage can sometimes safely been ignored - but, like most people who succeed in politics, he has acute antennae what is defensible in the court of public opinion, and what isn’t, and today’s exchanges will have convinced him that, on 1%, he’s got to budge. The NHS is always safe ground for a Labour leader, but today Starmer prosecuted the case particularly effectively. It helped that he started with a particularly pithy question, and he leveraged his family story into his script quite powerfully: My mum was a nurse, my sister was a nurse, my wife works in the NHS, I know what it means to work for the NHS. When I clapped for carers I meant it. He clapped for carers then he shut the door in their face at the first opportunity. More spurious was the juxtaposition with Dominic Cummings, because all governments give pay increases to favoured individuals and Cummings’ extra £40,000 is zilch compared to the £300m cost (according to this estimate) of a further 1% for nurses. But an argument doesn’t have to be fair to be effective, and Starmer won the encounter quite easily. Johnson’s best defence was to argue that Labour had voted against the NHS financial plans cited by Starmer as evidence that Johnson has gone back on a promise to pay staff more. Starmer seemed surprised by this, as if unsure of how Labour had in fact voted on the NHS funding bill, but he hid it well, saying that even if the Tories had voted for these plans, now they were ripping them up. Later it emerged that Johnson’s claim was wholly false anyway. (See 12.41pm.) Once upon a time that such a blatant untruth would have caused scandal, but given this is now commonplace, when Jonathan Ashworth raised it with the Speaker, no one seemed that surprised. PMQs is over, but Jonathan Ashworth, the shadow health secretary, asks a point of order. He says Boris Johnson twice at PMQs claimed that Labour voted against the NHS funding bill, and opposed the 2.1% increase in nurses’ pay it proposed. That is not true, Ashworth says. He says in the debate on the bill he made it clear that Labour was not voting against. Sir Lindsay Hoyle, the Speaker, says Ashworth has made his point. There is no response from Johnson, who has already left the chamber. Dan Jarvis (Lab) asks why the chancellor’s Richmondshire constituency is being favoured ahead of Barnsley for levelling up funding. Johnson says the government wants to level up everywhere. Alyn Smith (SNP) asks the PM to apologise to students missing out because Erasmus has gone. Johnson claims the Turing scheme will be better. James Grundy (Con) asks if the government will deliver a rail station for Leigh. Johnson says the world’s first railway junction was in Grundy’s constituency. Alison McGovern (Lab) asks why 375,000 care workers are on zero-hours contracts. Johnson says there have been record increases in the national living wage. And care home workers have been vaccinated quickly. Karin Smyth (Lab) asks the PM to apologise for failing young people. Johnson says he is proud of his record of getting young people into jobs. Theo Clarke (Con) asks if the PM accepts Covid has been bad for mental health. Will provision increase in Stafford? Johnson says he will take this up with ministers. The government has increased funding for mental health, he says. Dan Carden (Lab) asks about alcohol addiction. Will the PM investigate why deaths from this are increasing, and fund better treatment? Johnson says record sums are being invested in mental health. This includes treatment for alcoholism. Chris Loder (Con) asks for a levelling up transport plan that will help west Dorset. Johnson says the government wants to upgrade services in the West Country and in Dorset. Loder is “knocking on an open door”, he says. Johnson says he wants beauty salons to open up. That is why he is pursuing his cautious but irreversible roadmap. Sheryll Murray (Con) asks the PM to promote British-caught fish for recipes. Johnson says he is not the greatest cook but he can make a fish pie. Claire Hanna (SDLP) asks why the government is not imposing a windfall tax on businesses that have benefited during the pandemic. Johnson says the chancellor is trying to address the discrepancy between tax paid by online retailers and high street retailers. Lia Nici (Con) asks about the lifetime skills guarantee. Johnson says it will offer adults £3,000 for the equivalent of an A level qualification. It is the first time this has been done, he says. David Linden (SNP) says the need for the £20 universal credit uplift was an admission social security is inadequate. So why wasn’t this offered to people on legacy benefits? Johnson says he is proud of what universal credit has achieved. He says Lindon should talk to his “friends” in Labour, who want to abolish it. Colum Eastwood, the SDLP leader, says the “fantasy bridge” to Northern Ireland could cost £33bn. What mandate does the PM have to pursue this idea? Johnson says the plans in the Hendy review will benefit Northern Ireland. It is a “fantastic union connectivity review”, he says. (See 11.34am.) (Interestingly, Johnson does not try to defend the bridge/tunnel plan directly.) Kirsten Oswald, the SNP’s deputy leader at Westminster, asks about the Erasmus scheme. The replacement plan was published yesterday without consultation with the devolved governments. It is less generous, she says. Johnson says he does not accept this. He says the Turing scheme, unlike Erasmus, will help low-income students. Oswald says even Scottish Tories are saying young people won’t benefit from Brexit. Johnson says the SNP should stop going on about constitutional issues. Starmer says a 1% rise, when inflation is 1.7%, is a real-terms cut. They could afford a pay rise for Cummings, but not for nurses. The PM has had the chance to change course, but has refused. Will the PM put this to a vote? Johnson says the last time there was a vote, Starmer voted against it. He says Starmer “weaves and wobbles”. One week he wants more testing; the next week he says the government is spending too much on this. He returns to the claim that Starmer wanted to stay in the European Medicines Agency. And he reverts to a slogan he has used before: “He vacillates, we vaccinate.” Starmer says Johnson may have voted for those NHS financial plans, but he has now ripped them up. He quotes unnamed Tory MPs criticising the decision. Johnson says he will be listen to what the pay body says. Starmer says his mum was a nurse, his sister was a nurse, his wife works for the NHS. When he clapped for the NHS, he meant it. He says this is also a broken promise. The government planned to spend more on pay. Johnson says Starmer voted against those financial plans. He says the government is building more hospitals and recruiting more nurses. Starmer says a pay cut won’t encourage more people to apply. He says the government can find money for a new TV studio. Does he accept nurses will be worse off as a result of the budget? Johnson says he does not accept that. Some 49,000 more people are working in the NHS. That helps patients and nurses, he says. Starmer says nurses’ pay has fallen. And the PM did not answer the question. He could afford a pay rise for Cummings. So why not nurses? Johnson says we all owe a big debt to nurses. He says when he visits wards, they tell him, in addition to pay, they want more nurses. Applications are up 34%. And the government is finding 50,000 more nurses. Sir Keir Starmer asks who deserves a pay rise more, an NHS nurse or Dominic Cummings? Johnson says we owe a massive debt to NHS nurses. That is why the pay review body has been asked to look at their pay. (That’s not right. The pay review body reviews their pay every year anyway.) Boris Johnson starts by saying MPs can be proud of the UK’s vaccination programme. He says the UK has given £548m to Covax. He says he wants to correct the claim from Charles Michel, the European council president, that the UK has blocked vaccine exports. The government opposes vaccine nationalism, he says. (See 10.32am.) (The government has said this already, but it is unusual for the PM to devote the opening of PMQs to a rebuttal of one of the EU’s main leaders.) UPDATE: Here is the full quote: The whole house can be proud of the UK’s vaccination programme, with over 22.5 million people now having received their first dose across the UK. We can also be proud of the support the UK has given to the international Covid response, including the £548m we have donated to Covax. I therefore wish to correct the suggestion from the European council president that the UK has blocked vaccine exports. Let me be clear: we have not blocked the export of a single Covid-19 vaccine or vaccine components. This pandemic has put us all on the same side in the battle for global health, we oppose vaccine nationalism in all its forms. This is from the Daily Record’s Torcuil Crichton. He says Ian Blackford, the SNP leader at Westminster, won’t be taking part today because of a power cut. Kirsten Oswald, the deputy SNP leader at Westminster, will take his place. PMQs is starting soon. Here is the list of MPs down to ask a question. Homeless people in Wales are going to get priority for the vaccine, the Welsh government has announced. It says that people who are, or who have recently been homeless, will be in priority group six for vaccination. That means they will be treated the same as people with underlying health conditions that put them at higher risk of serious disease or death. According to the list drawn up by the Joint Committee for Vaccination and Immunisation, people in group six should get vaccinated after the over-65s, but before over-60s. Announcing the move, Vaughan Gething, the Welsh government’s health minister, said: It is as shocking as it is saddening that those who are homeless are much more likely to have a physical or mental health conditions which put them at a higher risk from the harms of Covid-19. A fundamental principle of our vaccination programme is that no one will be left behind and as part of this commitment, we are already working to ensure it is as easy as possible for every eligible adult in Wales to have a coronavirus vaccine if they want one. Today’s guidance provides further information on how we are going to do this across organisations and government to ensure homeless people are supported to get protected and have their vaccine too. In a comment to the media on today’s PAC report on test and trace (see 9.14am), Peter Drobac, director of the Skoll Centre for Social Entrepreneurship at Oxford Saïd Business School, says this has been a huge wasted opportunity. Drobac, a doctor and public health specialist, says: This is a damning indictment of the UK’s Covid-19 response. Past outbreaks have taught us that a well-functioning test and trace system would slow the spread of the virus, save lives, and avert costly lockdowns. What went wrong? Compare the failure of test and trace with the extraordinary success of the UK’s Covid-19 vaccination campaign. The vaccination rollout has been entrusted to the NHS, relying on extraordinary health professionals and existing infrastructure in communities across the country. In contrast, test and trace is an opaque centralised service built from scratch by consultants with little or no public health expertise. Imagine what the NHS and Public Health England could have done with £22bn! Back at</x:v>
      </x:c>
      <x:c r="I37" s="12" t="str">
        <x:v> the Holyrood committee Nicola Sturgeon contrasts the way Scotland’s test and protect service was set up with how it was done for England’s NHS test and trace. She says, instead of setting up a new service operating outside the NHS, like England’s, Scotland opted to build its capacity “from the bottom up”, based on existing local public health services. A major transport connectivity review is assessing the feasibility of a bridge or tunnel between Northern Ireland and Scotland, PA Media reports. PA says: The research is being carried out as part of Boris Johnson’s bid to improve UK transport links. Network Rail chairman Sir Peter Hendy, who is carrying out a review of union connectivity, said further work is required on the possibility of a “fixed link” across the Irish Sea. Following publication of his interim report (pdf), the government announced that air passenger duty - a tax on passenger flights from UK airports - could be cut for domestic journeys. Some £20m has also been committed to develop plans for upgraded rail, road, sea and air links - and explore new requirements to offset emissions and decarbonise aviation. Hendy has commissioned two engineering professors to lead a study into the feasibility of a bridge or tunnel between Northern Ireland and Scotland, outlining its cost, timescale and the work involved. They are ex-HS2 and Crossrail chairman Douglas Oakervee and former vice-president of Jacobs Engineering Gordon Masterton. It is hard to know whether the “fixed link” review is intended to find a way of ensuring that a tunnel or bridge between Scotland and Northern Ireland can go ahead, or whether its job will be to quietly euthanise the idea. Boris Johnson is known to be enthusiastic about it, but many other people in government reportedly think its bonkers. In his Commons written statement about Hendy’s interim report Grant Shapps, the transport secretary, does not even mention the “fixed link” proposal. And in his report Hendy himself sounds like someone anxious to offload responsibility. In his foreword he writes: I have also been asked specifically about a fixed link between Northern Ireland and the British mainland. To do this I have asked two experts, Professor Douglas Oakervee, CBE, and Professor Gordon Masterton, OBE, to lead a discrete piece of work, using engineering consultants, to assess the feasibility of such a link, and an outline cost and timescale for the link and the associated works needed. Sturgeon says the Scottish government is hoping to get back to carrying out around 400,000 vaccinations per week by mid-April. That depends on supply, she says. And she says she wants every adult in Scotland to have had their first dose of vaccine by the end of July. She is “reasonably confident” she can meet that, she says. Dr Gregor Smith, the chief medical officer for Scotland, tells the committee it is important to remember the new variant of the virus (B117), which is dominant in the whole of Britain, is between 30% and 70% more transmissible than the original one. Donald Cameron, a Conservative and the convenor of the committee, starts by asking why the government cannot speed up the easing of lockdown restrictions. Sturgeon says it is important to be cautious. The last thing we want to do is go faster, and then find measures have to be reversed. She says she wants the process to be “steady and one-directional”. Nicola Sturgeon, Scotland’s first minister, is giving evidence to Holyrood’s Covid-19 committee. She is appearing with Dr Gregor Smith, the chief medical officer for Scotland. Sturgeon starts by saying she has some of today’s figures. She says there have been 691 new cases, and 3.1% of all tests carried out have been positive. She says there have been 20 further deaths. And she says 19,781 more people were vaccinated yesterday, taking the total number of people in Scotland to have had a dose of vaccine to 1,809,158. Savanta ComRes has new polling out today suggesting the Conservatives are maintaining a comfortable lead over Labour. The ONS has also published a report on the impact of the pandemic on students this morning and, although young people have been at very little risk of death from Covid, the figures show that in other respects they have been suffering. More than a quarter of students (26%) in England report feeling lonely often or always, the ONS says. Its figures are based on a survey carried out in the second half of February. The figure for the adult population as a whole is 8%, and the figure for all 16 to 29-year-olds is 12%. Almost two-thirds of students (63%) say their wellbeing and mental health has got worse since the autumn term 2020. Students are less happy than average adults, the figures suggest. They report a life satisfaction score of 5.1. That is higher than it was in January (4.8), but lower than the figure for the adult population as a whole (6.4). Tim Gibbs, a public services analyst at the ONS, said: Students have continued to have a tough time into the new year, with Covid restrictions curtailing the things they can do, with many reporting dissatisfaction with their academic and social experiences at university. A senior European Union diplomat was summoned to the Foreign Office this morning in the row over vaccine supply, PA Media reports. As my colleague Jessica Elgot reports, Dominic Raab, the foreign secretary, ordered the meeting in response to claims by the president of the European council, Charles Michel, that the UK has banned exports of vaccines, which the government says are entirely false. Her story is here. Last night Michel posted a message on Twitter in apparent defence of his earlier claim that “the United Kingdom and the United States have imposed an outright ban on the export of vaccines or vaccine components produced on their territory”. Michel did not repeat the claim in the same terms, but he claimed what would effectively be a ban could take various forms. This morning a spokesman for the EU delegation said: This morning Nicole Mannion, deputy ambassador of the EU to the UK and charge d’affaires at the EU delegation to the UK attended a meeting at the request of the Foreign, Commonwealth and Development Office. We have no further comment at this stage. At the committee Allan says it would be helpful if it were clear that a breach of the ministerial code does not automatically have to lead to a resignation. It would be useful it a clear range of sanctions were available, he says. He says, because this is not clear at the moment, a PM may be under pressure to decide the ministerial code has not been breached, even if it has, because he does not want to have to sack the minister involved. Allan is speaking in general terms, but this may well be a reference to what he thinks may have happened in the Priti Patel case. UPDATE: Here is the quote. If the prime minister feels the circumstances don’t warrant a ministerial resignation he may nonetheless feel under pressure to say what happened wasn’t a breach of the code because he doesn’t think the minister needs to resign. I think it would help if there were a clear range of actions that could be taken following a breach. Back at the committee on standards in public life, Sir Alex Allan said he would like to see the independent adviser on ministerial standards having more freedom to initiate an investigation. At the moment, he or she can only launch an inquiry at the request of the PM. Allan said that the way some allegations recently have been “dismissed” without an investigation may have affected public confidence in the system. But he did not cite specific examples. UPDATE: Here is Allan’s quote. I think actually there is a case now for giving the independent adviser the role of initiating investigations. I think the issue really now is whether the process is actually damaging to the perception of whether ministers do or don’t adhere to the code. There have been incidents which prima facie appear to involve a breach of the code but which haven’t been referred to the independent adviser. It is perfectly possible that the allegations weren’t supported by the facts. But the way the allegations have been dismissed I think has raised questions about the operation of the system and about the confidence that the public can have in the impact and effectiveness of the code. To that extent, I do see a case for introducing a greater element of independence. It would also clear up the anomaly where there were allegations against the prime minister him or herself which is something we have just seen in Scotland. The Office for National Statistics has this morning published a report on the differential impact of the coronavirus pandemic on men and women. And it says that, although men have been more likely to die, overall women have suffered more harm to their well-being. It says: While more men died from Covid-19, women’s well-being was more negatively affected than men’s during the first year of the pandemic. In general, men and women’s experiences of life in lockdown tended to differ. Women were more likely to be furloughed, and to spend significantly less time working from home, and more time on unpaid household work and childcare. However, when looking at mortality from the coronavirus, more men died from Covid-19 than women, even though pre-pandemic annual mortality rates were higher for men than women in England and Wales. The ONS has also posted the key graphs from the document on Twitter. Allan says the ministerial code is more than “well-intentioned guidance”, but he accepts that its status is not clear. He says members of the public take the view that it is something ministers should follow. At the committee Sir Alex Allan has started giving evidence. He says he “does recognise” concerns expressed recently that standards have been slipping. He says the chairman, Lord Evans, summed up the situation well in a recent lecture. Non-story alert. The committee chair, Lord Evans of Weardale (better known as Jonathan Evans - the former head of MI5) starts by saying today’s session will not cover the outcome of recent cases. The committee on standards in public life is taking evidence today on the ministerial code, and its first witness is Sir Alex Allan, who served as Boris Johnson’s independent adviser on ministerial standards until last November, when he resigned after the PM effectively ignored the conclusions of his inquiry into Priti Patel. Our story on his resignation is here. Potentially his evidence this morning could turn out to be highly embarrassing to Johnson. In practice, committee sessions with civil servants rarely live up to expectations because they are excessively prone to discretion. But we’ll see. The session is just starting now. There is a live feed here. This is from Nick Macpherson, a former permanent secretary at the Treasury, on NHS test and trace. Good morning. The Commons public accounts committee has published a report on the government’s NHS test and trace (which, of course, is not run by the NHS) that says there is no proof that it is worth the £37bn that has been allocated for it (£22bn in this financial year, and £15bn in 2021-22). Here is my colleague Rajeev Syal’s story. Here is the report itself (pdf). And here is a comment on the report’s findings from Meg Hillier, the Labour chair of the committee. The £23 billion test and trace has cost us so far is about the annual budget of the Department for Transport. Test and trace still continues to pay for consultants at £1,000 a day. Yet despite the unimaginable resources thrown at this project test and trace cannot point to a measurable difference to the progress of the pandemic, and the promise on which this huge expense was justified - avoiding another lockdown – has been broken, twice. DHSC and NHST&amp;amp;T must rapidly turn around these fortunes and begin to demonstrate the worth and value of this staggering investment of taxpayers’ money. Not only is it essential it delivers an effective system as pupils return to school and more people return to their workplace, but for the billions spent we need to see a top class legacy system. British taxpayers cannot be treated by government like an ATM machine. We need to see a clear plan and costs better controlled. Grant Shapps, the transport secretary, was speaking for the government on the morning broadcast interview round. Mostly he was talking about a government plan to improve transport connectivity between the whole of the UK, but he was asked about the PAC report, and he defended test and trace. He told Sky News: 9.1 million people have been contacted by test and trace. These are people who otherwise would be wandering round often unaware that they had coronavirus and spreading it around further. Whatever the coronavirus experience we have had as a nation, good or bad, it would have been one heck of a lot worse if we didn’t have a test and trace system which has contacted so many people and prevented the disease spreading further. Here is the agenda for the day. 9.30am: Sir Alex Allan, who resigned as the PM’s independent adviser on ministerial standards after his conclusions on Priti Patel were ignored, gives evidence to the committee on standards in public life. 9.30am: The ONS publishes reports on the impact of coronavirus on men and women, and on Covid and students. 11am: Nicola Sturgeon, Scotland’s first minister, gives ev evidence to the Scottish parliament’s Covid-19 committee. 11.30am: Peter Weir, the education minister in the Northern Ireland executive, gives evidence to a Stormont scrutiny committee about schools reopening. 12pm: Boris Johnson faces Sir Keir Starmer at PMQs. 12.15pm: The Welsh government is expected to hold a coronavirus briefing. 12.30pm: Labour asks a Commons urgent question about the government’s unilateral action on Northern Ireland protocol. 1.30pm: Downing Street lobby briefing. 2.30pm: Kemi Badenoch, the minister for equalities, and Nadhim Zahawi, the vaccine deployment minister, give evidence to the Commons women and equalities committee about vaccine take-up in BAME communities. 4pm: Andy Burnham, the mayor of Greater Manchester, gives evidence on levelling up to the Lords public services committee. 5pm: Downing Street may hold a press conference. Politics Live is now doubling up as the UK coronavirus live blog and, given the way the Covid crisis eclipses everything, this will continue for the foreseeable future. But we will be covering non-Covid political stories too, and when they seem more important or more interesting, they will take precedence. Here is our global coronavirus live blog. I try to monitor the comments below the line (BTL) but it is impossible to read them all. If you have a direct question, do include “Andrew” in it somewhere and I’m more likely to find it. I do try to answer questions, and if they are of general interest, I will post the question and reply above the line (ATL), although I can’t promise to do this for everyone. If you want to attract my attention quickly, it is probably better to use Twitter. I’m on @AndrewSparrow.</x:v>
      </x:c>
      <x:c r="J37" s="12" t="str"/>
    </x:row>
    <x:row r="38" ht="110" customHeight="1">
      <x:c r="A38" s="12" t="n">
        <x:v>35</x:v>
      </x:c>
      <x:c r="B38" s="12" t="str">
        <x:v>NEWS-guardian_api-9dea17fa1487</x:v>
      </x:c>
      <x:c r="C38" s="12" t="str">
        <x:v>England's new Covid rules: what is allowed in tiers 1, 2 and 3?</x:v>
      </x:c>
      <x:c r="D38" s="12" t="str">
        <x:v>https://www.theguardian.com/world/2020/nov/26/englands-new-covid-rules-what-is-allowed-in-tiers-1-2-and-3</x:v>
      </x:c>
      <x:c r="E38" s="12" t="str">
        <x:v>data/raw/news/text/NEWS-guardian_api-9dea17fa1487.txt</x:v>
      </x:c>
      <x:c r="F38" s="12" t="str">
        <x:v>data/raw/news/text/NEWS-guardian_api-9dea17fa1487.txt</x:v>
      </x:c>
      <x:c r="G38" s="12" t="n">
        <x:v>7884</x:v>
      </x:c>
      <x:c r="H38" s="12" t="str">
        <x:v>From Wednesday 2 December millions of people will face stricter Covid restrictions after lockdown ends. So how will they work? I’m in tier 1: what does this mean, and what can I do? You are one of the very lucky ones. The only locations falling into this least restrictive tier, living under what the government terms as “medium alert”, are the Isle of Wight, Cornwall and the Isles of Scilly. Or, to put it another way, 1.27% of England’s population. People can mix socially between households indoors but must abide by the “rule of six”. Hospitality businesses, such as pubs, restaurants and bars, can operate until 11pm with table service only, a tweak from the previous rules, but last orders must be made by 10pm. People are being encouraged to minimise travel and work from home where possible. Spectator sport is set to resume, albeit with limits on numbers and abiding by social distancing. In tier 1, there will be a maximum crowd capacity outdoors of 50% of normal stadium occupancy or 4,000 people, whichever is smaller. Indoors, the maximum capacity is 1,000. What about tier 2: will the pubs be open? More than 32 million people in England – or 57.25% of the population – including those living in London’s 32 boroughs, will fall into the “high alert” tier 2. Liverpool city region, York, North Yorkshire, Cambridgeshire, Norfolk, Essex, East Sussex, Surrey, Oxfordshire, Dorset and Devon are among other locations in tier 2. A full list of places can be found here. As before, social mixing outside of households or support bubbles will not be allowed indoors. The rule of six will apply outdoors, including in gardens and public spaces. Although hospitality venues will be allowed to stay open until 11pm – with last orders at 10pm – only those that serve food can operate, and they can only serve alcohol with a substantial meal. It means pubs and bars that do not serve meals will have to close. Spectators will be allowed to watch sport, but with a maximum crowd outdoors of 50% of the stadium’s capacity or 2,000 people, whichever is smaller. Indoors, the maximum capacity is 1,000. And tier 3? This is the toughest tier. Two in five people in England, representing more than 23 million, will have to live under the country’s most restrictive tier. Like tier 2, people are not allowed to mix socially indoors with other households, unless it is with their support bubble. Up to six people can meet outdoors in some public places, such as parks, but not private gardens. Hospitality venues will have to close, except for delivery and takeaway service. In tier 3, hotels and other accommodation providers must also close, except for specific work purposes where people cannot return home. Indoor entertainment venues, such as cinemas, casinos and bowling alleys, must also close. Unlike the first two tiers, spectators will not be allowed to watch sport in tier 3. What is the same across all tiers? Schools, universities, colleges and nurseries all stay open. Everyone who can work from home should, the government says, but where people cannot they should continue to go in. Essential and non-essential retail, including indoor and outdoor markets, as well as car boot sales, are allowed to open. Organised outdoor sport, physical activity and exercise classes can take place in all tiers. However, the government has added a caveat in tier 3, saying: “higher-risk contact activity should not take place”. Gyms, sports courts and facilities, leisure centres, fitness and dance studios, swimming pools, riding centres and outdoor playgrounds can also open. Indoor group activities and classes are not allowed in tier 3. There are exceptions for indoor disability sport, sport for educational purposes, supervised sport and physical activity for under-18s, the government says. Personal care and close-contact services – such as hairdressers, beauty salons, tattoo parlours, nail salons, spas and beauty services, massage parlours and tanning salons – are also allowed. Collective worship and weddings – with a maximum of 15 in attendance – can also resume, although wedding receptions and wakes in hospitality venues are not permitted in tier 3. Can I travel between tiers? If you live in tier 1 and travel to a higher tier, the government states: “you should follow the rules for that area while you are there”. But it would rather you didn’t travel to areas with more virus. “Avoid travel to or overnight stays in tier 3 areas other than where necessary, such as for work, education, youth services, to receive medical treatment, or because of caring responsibilities. You can travel through a tier 3 area as part of a longer journey,” the government advice says. If you live in a tier 2 area, the government says “you must continue to follow tier 2 rules when you travel to a tier 1 area”. It says people in tier 2 must also avoid travel to or overnight stays in tier 3 areas other than where necessary. For those living in tier 3, the government states people should “avoid travelling to other parts of the UK, including for overnight stays other than where necessary”. If I live in a tier 3 area, can I go on holiday in tier 1? Asked specifically whether someone living in tier 3 can go on holiday in a lower tier, the Department of Health and Social Care told the Guardian: “In tier 3 the government strongly advises against travel and overnight stays in/out of the area, other than for reasons like work or education. This means that holidays – including internationally – are advised against, but are not prohibited.” How will the new rules be enforced? Pressed on this point by the Guardian, the DHSC pointed out that police and local authorities had been given £60m in additional funding in October to “step up their enforcement and compliance activities”, saying it would help the police to increase patrols, to enforce rules and “deploy to high-risk areas for targeted policing where there is a rising concern”. A spokeswoman added: “And just as we’re supporting the police, we want to see local enforcement teams using the full weight of the new rules and regulations – and environmental health officers and trading standards officers should be using their powers to ensure businesses who are breaking the rules feel the full force of the law, working with the police where necessary.” These rules affect England: are there different rules for the rest of the UK? Yes. Scotland, Wales and Northern Ireland, which have their own powers to set Covid-19 restrictions, have their own rules. Scotland, for example, has a five-level system of restrictions. Earlier this month, more than 2 million people in 11 council areas across western and central Scotland, including Glasgow, moved into level 4, the toughest category where non-essential shops, hospitality and gyms are all forced to shut. Level 4 restrictions will be lifted on 11 December. In Wales, where restrictions were eased on 9 November after a firebreak lockdown, two households have been able to form a bubble, and pubs, bars, restaurants and gyms are among businesses allowed to operate. Northern Ireland will go into a two-week circuit-breaker lockdown – including closure of non-essential shops, as well as a ban on households mixing socially indoors unless an exemption applies – from 27 November. Isn’t there going to be a relaxation of restrictions for Christmas? Yes, there will be a temporary let-up in restrictions across the UK to allow people to form bubbles of three households over Christmas so they can celebrate the festive season together. Restrictions will be lifted for a five-day period between 23-27 December so that people can mix indoors and stay overnight. In Scotland, a maximum of eight people will be allowed but that does not include under-12s. In Northern Ireland, the window has been extended to 22-28 December to allow for additional travel time between countries.</x:v>
      </x:c>
      <x:c r="I38" s="12" t="str"/>
      <x:c r="J38" s="12" t="str"/>
    </x:row>
    <x:row r="39" ht="110" customHeight="1">
      <x:c r="A39" s="12" t="n">
        <x:v>36</x:v>
      </x:c>
      <x:c r="B39" s="12" t="str">
        <x:v>NEWS-guardian_api-a3577fa415ba</x:v>
      </x:c>
      <x:c r="C39" s="12" t="str">
        <x:v>Israel to ban flights in and out of country</x:v>
      </x:c>
      <x:c r="D39" s="12" t="str">
        <x:v>https://www.theguardian.com/world/live/2021/jan/24/coronavirus-live-news-us-nears-25m-cases-as-three-infections-linked-to-australian-open-confirmed-as-uk-strain</x:v>
      </x:c>
      <x:c r="E39" s="12" t="str">
        <x:v>data/raw/news/text/NEWS-guardian_api-a3577fa415ba.txt</x:v>
      </x:c>
      <x:c r="F39" s="12" t="str">
        <x:v>data/raw/news/text/NEWS-guardian_api-a3577fa415ba.txt</x:v>
      </x:c>
      <x:c r="G39" s="12" t="n">
        <x:v>83391</x:v>
      </x:c>
      <x:c r="H39" s="12" t="str">
        <x:v>We’ve launched a new blog at the link below – head there for the latest: Israel is set to ban passenger flights in attempt to prevent Covid variant imports, coming into effect from Monday 10pm for two weeks Greek health authorities have reported a jump in the number of cases of the coronavirus variant first spotted in the UK, with 32 infections detected. The UK has reported a further 30,004 lab-confirmed coronavirus cases, according to government data. This compares with 38,598 cases registered last Sunday. Jeremy Hunt, the former UK health secretary, has echoed calls from epidemiologists urging the use of medical-grade masks to be compulsory on public transport and in shops. Serbia has detected its first case of the UK coronavirus variant, in a woman who travelled from London but no new lockdown is planned in the country, President Aleksandar Vučić said. Airbus has announced that some 500 employees have entered quarantine following an outbreak at its aircraft factory in Hamburg in which 21 workers have tested positive, according to Reuters. Police used water cannon and dogs against protesters after hundreds gathered in a square in central Amsterdam on Sunday to protest against a new coronavirus curfew. France probably needs to enter into a third lockdown because of the spread of new coronavirus variants in the country, the government’s top medical adviser on Covid-19 policy has said. Mexico’s president, Andrés Manuel López Obrador, will telephone Russia’s Vladimir Putin on Monday to discuss Mexico’s procurement of the Sputnik V vaccine, the Mexican government said on Sunday. France has reported 18,436 new coronavirus cases in the past 24 hours, down from 23,924 on Saturday. However, today’s figure is higher than last Sunday’s, when 16,642 infections were registered. President Joe Biden will ban most non-US citizens who have recently been in South Africa from entering the US from Saturday in an effort to stem the spread of a new coronavirus variant, public health officials told Reuters. Ecuador has approved the use of AstraZeneca’s Covid-19 vaccine, the country’s health ministry said on Sunday. That’s all from me for today – I’m handing over to my colleagues in Sydney. Thanks for reading along. Brazil recorded 592 new Covid-19 deaths, the health ministry has said, bringing the death toll to 217,037. The country saw 28,323 new cases of coronavirus, with nearly 8.9 million people infected since the outbreak began, the official data showed. Experts have warned that the country faces running out of doses as well as vital medical kit such syringes, according to AFP, which adds that there are concerns that “vaccine-sceptic president Jair Bolsonaro could be endangering supply chains with criticism of the China-made CoronaVac shot”. The Montreal Heart Institute (MHI) has announced that a clinical trial has provided persuasive results that a widely used anti-inflammatory drug may be effective in treating Covid-19. The study, which had nearly 4,500 participants, suggested that colchicine, an anti-inflammatory often used to treat gout, cuts the risk of death or hospitalisations by 21% compared with patients who were given a placebo. In patients with a proven diagnosis of Covid-19, colchicine reduced hospitalisations by 25%, the need for mechanical ventilation by 50%, and fatalities by 44%, CBC reported. “These results are substantial, they are robust, and we believe are compelling to justify the use of the colchicine,” Dr Jean-Claude Tardif, director of the MHI’s research centre told the outlet. “I believe this will have a fairly swift impact on how we practice medicine for patients that have Covid and are not yet hospitalized.” Jeremy Hunt, the former UK health secretary, has echoed calls from epidemiologists urging the use of medical-grade masks to be compulsory on public transport and in shops. Some disease experts are concerned that cloth masks, which are often homemade, are not enough to deal with the new, more transmissible variants. Trisha Greenhalgh, a professor of primary care at the University of Oxford, said “the context has changed” since the pandemic began and everyone should be wearing medical-grade masks. Prof Greenhalgh tweeted on Sunday: “Double-layer cloth masks seemed OK when a) supplies of PPE were very low, b) virus was less contagious, c) incidence was lower. “The context has changed. We need to be wearing medical-grade.” Hunt shared the post, adding: “I agree.” In an interview with the Observer, Hunt said: “Current lockdown measures are just not working fast enough.” He is calling for FFP2 respirator masks – which, unlike surgical or cloth masks, protect the wearer by filtering both the inflow and outflow of air – to be made compulsory on public transport and in shops. This would follow Austria and parts of Germany, where higher-grade masks have been made compulsory. “Last time we waited too long before requiring masks,” Hunt says, “let’s not make the same mistake again.” He also thinks government must review whether the two-metre social distancing rule is sufficient. Ecuador has approved the use of AstraZeneca’s Covid-19 vaccine, the country’s health ministry said on Sunday. The vaccine, developed with Oxford University, is the second that the country’s regulator has registered for use. The Pfizer vaccine is being rolled out through a pilot programme to medical personnel and in nursing homes since last week. “The agency authorized imports of approximately five million doses of the AstraZeneca Covid-19 vaccine, which will be applied to 2.5 million Ecuadoreans,” the ministry added in a statement. “It will allow Ecuador to strengthen the process of containing the disease to achieve herd immunity.” The health ministry said mass vaccination will start in March. France imposed new border restrictions on Sunday as part of its bid to contain the spread of Covid-19. AFP reports: Starting Sunday, arrivals to France from European Union countries by air or sea must be able to produce a negative PCR test result obtained in the previous 72 hours. The requirement had already applied to non-EU arrivals since mid-January. EU travellers entering France by land, including cross-border workers, will not need a negative test. Some 62,000 people currently arrive in French airports and sea ports from other EU countries every week, according to transport minister Jean-Baptiste Djebbari. Paris’s main international airport Roissy-Charles-de-Gaulle set up testing centres in a terminal dedicated to intra-EU flights to allow arriving passengers who failed to obtain a test in their country of origin to get one before passing immigration. The US Centers for Disease Control and Prevention (CDC) on Sunday reported 24,876,261 cases of the new coronavirus, an increase of 171,844 from its previous count, and said the number of deaths had risen by 3,414 to 416,010. The CDC figures are not always in line with cases reported by individual states. President Joe Biden will ban most non-US citizens who have recently been in South Africa from entering the US from Saturday in an effort to stem the spread of a new coronavirus variant, public health officials told Reuters. Biden will also reintroduce a travel ban on nearly all non-US passengers who have been in Brazil, the UK, Ireland and 26 countries in Europe that allow travel across open borders. A number of other travel restrictions are also set to come into force this week, with an order from the Centers for Disease Control and Prevention director (CDC) requiring masks on all planes, ferries, trains, subways, buses, taxis, and ride-share vehicles, officials said. On Tuesday, new CDC rules come into force requiring “all international air travellers aged two and older to present a negative coronavirus test taken within three calendar days of travel or proof of recovery from Covid-19 to enter the United States”, Reuters said. CDC officials said they would consider any humanitarian exemptions for some travellers on a case-by-case basis, if required. The CDC order says travellers should quarantine for seven days after arriving in the US and consider getting a new Covid test within three to five days of returning. France has reported 18,436 new coronavirus cases in the past 24 hours, down from 23,924 on Saturday. However, today’s figure is higher than last Sunday’s, when 16,642 infections were registered. There were 72 new deaths in past 24 hours, down from 230 the previous day. Hospitalisations rose by 493 to 26,393 on Sunday - the highest increase in hospital admissions since mid-November. The number of people in intensive care also increased again, by 69 to 2,965, also the biggest one-day rise since early November. Some ultra-Orthodox Jewish communities in Israel have protested against coronavirus lockdown measures, leading to confrontations with police in several towns and in the city of Bnei Brak. Police said one officer in Bnei Brak fired into the air to disperse the crowds after “feeling his life was in danger”. There is growing anger towards some ultra-Orthodox communities that have flouted lockdown rules and continued to open schools and seminaries. The study of scripture is one of the most important religious decrees for ultra-Orthodox Jews. France probably needs to enter into a third lockdown because of the spread of new coronavirus variants in the country, the government’s top medical adviser on Covid-19 policy has said. “If we do not tighten regulations, we will find ourselves in an extremely difficult situation from mid-March ... We probably need to lock down again,” Jean-François Delfraissy said on BFM television. “This is a critical week, politicians must decide.” Delfraissy said it would make sense to have the new lockdown come at the same time as the upcoming February school holidays and to extend the break by at least a week. Mexico’s president, Andrés Manuel López Obrador, will telephone Russia’s Vladimir Putin on Monday to discuss Mexico’s procurement of the Sputnik V vaccine, the Mexican government said on Sunday. The foreign minister, Marcelo Ebrard, said on Twitter that the leaders’ conversation would address “the future of the bilateral relationship as well as the supply of Russian vaccines to Mexico” and would take place at 8am Mexico City time. The Mexican government has said it will buy 12m doses of Sputnik V, Reuters reports. The initial doses may arrive within the next week. Mexico hopes to administer 7.4m doses of Sputnik V by the end of March, but the Russian vaccine has not yet been approved by the Mexican government. Police used water cannon and dogs against protesters after hundreds gathered in a square in central Amsterdam on Sunday to protest against a new coronavirus curfew. There were also protests against restrictions in other parts of the Netherlands, AFP reports: In Eindhoven in the country’s south, police fired tear gas to disperse a crowd of several hundred, regional television Omroep Brabant reported. At least 30 people were arrested there, police said. A number of vehicles were burned and businesses at Eindhoven’s central train station were looted, media reports said. Dutch rail company NS called on travellers to avoid the Eindhoven station, where it said train circulation was interrupted due to the intervention of emergency services nearby. A Covid-19 testing centre was also set on fire on Saturday evening in the village of Urk in the north of the country, local authorities said. “The fire in a screening centre in Urk goes beyond all limits,” health minister Hugo de Jonge said on Sunday. The 9pm to 4:30am curfew is the country’s first since World War II, with prime minister Mark Rutte saying it is needed to bring down virus case numbers. Violators face a 95 euro fine. Exemptions are possible, in particular for people returning from funerals or those having to work, but on condition that they present a certificate. Airbus has announced that some 500 employees have entered quarantine following an outbreak at its aircraft factory in Hamburg in which 21 workers have tested positive, according to Reuters. The staff have been asked to stay at home as a “precautionary measure”, the company said, adding that it was looking into whether the move would affect production at the factory. Officials from the Hamburg health authority were investigating the cause of the outbreak, a spokesperson for the body said. He said it remained unclear whether the cases were of the more contagious variant that is understood to have originated in the UK. The health authority will probably be able to provide detail on the virus type late next week, the spokesperson said. “The cause of the cases is still under investigation. We are fully supporting the authorities,” an Airbus spokesperson said. With more than 12,000 employees at its Hamburg-Finkenwerder site, Airbus is the northern city’s largest industrial employer. Israel has extended its vaccination rollout to include teenagers between the ages of 16 and 18, in an effort to hasten students’ return to school. They must receive parental permission to get the jab, Reuters reports. The country initially limited vaccines to elderly people and other high-risk categories, but they are now available to anyone over 40. The inclusion of older teens is meant “to enable their return (to school) and the orderly holding of exams,” a spokesperson for the education ministry said. Israel has given at least one dose to more than 25% of its 9 million population since 19 December, according to its health ministry – the world’s fastest vaccination rollout. Appearing on Ynet TV, the education minister, Yoav Galant, said it was too early to say whether schools would reopen next month. Italy reported 299 coronavirus-related deaths on Sunday, down from 488 on Saturday. The daily tally of infections came to 11,629, Reuters reports, down from 13,331 the previous day. Italy has registered 85,461 deaths linked to Covid-19 since the pandemic began – the second highest toll in Europe after the UK and the sixth highest in the world. The country has reported 2.459 million cases. There were 21,309 patients in hospital with Covid-19 on Sunday (not including those in intensive care), compared with 21,403 a day earlier. A further 120 people were admitted to intensive care units, against 174 the day before. The total number of intensive care patients stood at 2,400, up from 2,386. Serbia has detected its first case of the UK coronavirus variant, in a woman who travelled from London. The country’s president said her contacts had been isolated. No new lockdown is planned in the country, President Aleksandar Vučić said. The state news agency Tanjug quoted the president as saying: The new variant was detected on time and there will be no lockdown. It is important to continue with vaccination. Several new variants of the virus have been discovered around the world, including a highly contagious variant first identified in south-east England and now widespread in Britain. Around 172,000 people have received a vaccine in Serbia, Reuters reports. Three vaccines are registered in the country – Pfizer and BioNTech’s, Russia’s Sputnik V vaccine and China’s Sinopharm. A total of 6,353,321 people in the UK have received the first dose of a coronavirus vaccine – an increase of 491,970 from Saturday. 1,043 more people have had the second dose, taking the total to 469,660. The UK has reported a further 30,004 lab-confirmed coronavirus cases, according to government data. This compares with 38,598 cases registered last Sunday. A total of 3,647,463 people have tested positive since the pandemic began. A further 610 deaths within 28 days of a positive test were reported, bringing the total to 97,939. There were 671 last Sunday. Sunday figures are often lower because of reporting delays over the weekend. Cases have fallen by 22.3% over the last seven days, but fatalities have continued to rise, increasing by 10.8% compared with the previous week (11-17 January). I’m taking over the blog now for the next few hours – you can reach me by email with any suggestions for coverage. Thanks in advance. Greek health authorities have reported a jump in the number of cases of the coronavirus variant first spotted in the UK. More worryingly, say epidemiologists, the new strain has been detected among people who have not travelled abroad. Mutations have been diagnosed across Greece, with a 32nd case of the much more contagious variant appearing in the greater Attica region of Athens. One individual had reportedly not been out of the country, perplexing infectious disease experts further. The discovery brings the total number of those detected with the new strain in the capital to 17. On Saturday the country’s public health organisation EODY announced an additional 605 confirmed coronavirus cases, after 31,000 tests were conducted nationwide. Of that number, 256 were detected in Attica. In a statement this evening it reported a further 334 infections – Sunday case loads tend to drop because of lower testing rates – bringing the total number to 151,980. The death toll rose to 5,646 following 24 more fatalities. Athens again had the highest number of newly confirmed cases, at 162. Greece has fared relatively well compared with other EU countries, even if suppressing a second wave of the pandemic has taken longer than envisaged. A nationwide lockdown, including a 9pm to 5am curfew, went into force on 7 November. But with restrictions gradually being rolled back and shops opening for the first time this weekend, officials have been spooked by the sight of long queues outside stores and scenes of unexpectedly large crowds in commercial areas. Although the vast majority were wearing masks, there was almost no social distancing. Urging Greeks to be “self disciplined”, Panayiotis Stamboulides, a high-ranking official at the ministry of development, said such scenes gave rise to fears of a third wave. “A third strict lockdown would be catastrophic for all,” he told SKAI news when asked to comment on the scenes of crowds. “Everyone has to exhibit self-discipline and to respect him or herself,” he said, noting that sales primarily of shoes and clothes had risen 30% since curbs were eased. New rules are reportedly set to come in for two weeks from 10pm GMT tomorrow after the Israeli cabinet banned passenger flights today amid fears over new Covid variants. According to Haaretz, the prime minister, Benjamin Netanyahu, said during the government meeting: “We are ahead of the entire world. No nation has done what we are about to do – we are hermetically sealing the country.” Foreign cargo planes, firefighting planes, and medical emergency flights will be exempt from the restriction, the paper reported. “For the first time,” Jews would not be allowed to migrate to Israel, “unless it is a matter of life or death,” said the transportation minister, Miri Regev, according to Haaretz. It comes after the government last week passed regulations requiring all arrivals to Ben-Gurion international airport to present a negative coronavirus test from less than 72 hours before landing. Egypt has launched a Covid vaccination campaign, with the first shots of Sinopharm’s vaccine given to healthcare workers in the Suez Canal city of Ismailia. Hala Zayed, the health minister, said people would receive two doses of the vaccine over 21 days, according to the Associated Press. Zayed said priority would be given to healthcare workers in 40 hospitals that are designated to isolate and treat Covid patients across the country, followed by elderly people and those suffering from chronic diseases. Italy will take legal action against Pfizer and AstraZeneca over delays in deliveries of Covid vaccines, with the aim of securing the doses rather than seeking damages, the foreign minister, Luigi Di Maio, said on Sunday. Di Maio said on RAI state television: We are working so our vaccine plan programme does not change. We are activating all channels so the EU commission does all it can to make these gentlemen respect their contracts. An Associated Press analysis of federal hospital data shows that since November, the share of US hospitals nearing breaking point has doubled. AP reports: More than 40% of Americans now live in areas running out of ICU space, with only 15% of beds still available. Intensive care units are the final defense for the sickest of the sick, patients who are nearly suffocating or facing organ failure. Nurses who work in the most stressed ICUs, changing IV bags and monitoring patients on breathing machines, are exhausted. After research published in Scientific Reports showed an “impressive linear correlation” between European countries’ latitude and the date of their autumn Covid surge, and pointed to vitamin D levels as a contributory factor, there are calls to rapidly address deficiencies of the sunshine nutrient across the continent. Jon Rhodes, an emeritus professor of medicine at the University of Liverpool, said: This study confirms previous reports showing associations between Covid-19 risk and latitude and this fits with its evident seasonality. The risk of dying from Covid-19 correlates with ethnicity, obesity, and also with lack of sunlight /ultraviolet exposure - whether as a consequence of latitude, season, or by being institutionalised. All these factors are strongly associated with vitamin D deficiency. Vitamin D deficiency impairs immune function and a recent study has shown this can be readily corrected by daily supplementation. Doctors, many of whom take vitamin D supplements themselves, know that placebo-controlled interventional trials are not the only form of useful scientific evidence – smoking and lung cancer being a classic example. We know about half the UK population are likely to be vitamin D deficient. It is extremely foolish not to urge daily vitamin D supplementation for everyone during the pandemic - it is very cheap and safe, at worst will do no harm, and at best might be lifesaving for many. The study’s author, Stephan Walrand, from Cliniques Universitaires, the largest hospital in Brussels, Belgium, wrote in the peer-reviewed paper: As already evidenced by previous correlation studies, a low [vitamin D] concentration should be considered a contributing factor to Covid-19 severity. Europe and the northern USA are starting a long Covid-19 crisis this autumn, as they will return to a level above the October sun UV daily dose only at the end of March 2021. Measures to reduce the pandemic severity during the coming winter using controlled preventive vitamin D supplementation should be considered. Research suggesting a link between low vitamin D levels and the worst Covid outcomes is growing. There are many dozens of observational studies from around the world that make such indications, along with a randomised control trial (RCT) from Andalusia, Spain. In the study, conducted in early September, 50 patients with Covid-19 were given a high dose of vitamin D, while another 26 patients did not receive the nutrient. Half of patients who weren’t given vitamin D had to be placed in intensive care, and two later died. Only one patient who received vitamin D required ICU admission, and they were later released with no further complications. The researchers are now doing a much larger trial across a number of hospitals. Meanwhile, results are expected in the coming weeks from a large French trial that was reportedly named a “national research priority” by the French government in December. An RCT with 6,200 patients was launched in the UK with charitable funding in October to examine whether vitamin D supplementation reduces the risk and severity of Covid-19 and other acute respiratory infections. A claim by Boris Johnson that 5.8 million people in the UK have been vaccinated against coronavirus is coming in for criticism on social media. Now, of course, it may be strictly true, since that number of people have received their first jab. But the large majority of those people will not have received their second jab, and therefore could only have a much smaller degree of protection than if they had been fully vaccinated. New US coronavirus travel restrictions are likely to have an outsized impact on Mexico, which is also struggling with an uncontrolled outbreak of the virus and record-breaking deaths. Among Joe Biden’s flurry of executive orders on Thursday was a new set of rules requiring all travellers entering the US by sea, air or land to show proof of a recent negative coronavirus test and self-quarantine or self-isolate after entry. The executive action also instructs federal officials to work with the governments of Mexico and Canada to draw up a coordinated plan for border crossings. Until now, Mexico has also been a world outlier in refusing to implement restrictions on international air passengers, as President Andrés Manuel López Obrador pushes a light-touch response to the pandemic. Meanwhile, hospitals have been overwhelmed by surging case numbers, and this week Mexico set two records for daily coronavirus deaths. But even as fatalities soared, the country has cornered the market in offering restriction-free travel to international tourists. During the winter holidays, foreign and domestic tourists flocked to beach resorts and other prime destinations. The chair of the Winton Centre for Risk and Evidence Communication at Cambridge, David Spiegelhalter, and Anthony Masters, a statistical ambassador for the Royal Statistical Society, explain the meaning of a Covid vaccine having “90% efficacy”. Imagine 100 people are ill with Covid-19.“90% efficacy” means if only they’d had the vaccine, on average only 10 would have got ill. Vaccine efficacy is the relative reduction in the risk: whatever your risk was before, it is reduced by 90% if you get vaccinated. There is a lot of confusion about this number: it does not mean there is a 10% chance of getting Covid-19 if vaccinated – that chance will be massively lower than 10%. Vulnerable children in England are facing an increasing wave of hidden abuse since the start of the pandemic, according to ongoing evidence of a slump in the numbers being identified by social services. The impact of the pandemic since March has intensified issues such as domestic violence, parental mental health and alcohol and substance abuse – all factors that put children at greater risk. However, there has been a significant fall in referrals to council children’s services of 10% between the end of April and November, according to research by the Office for the Children’s Commissioner in England. Oman will extend the closure of its land borders for another week, until 1 February, in an attempt to prevent the spread of coronavirus, the state news agency ONA reported on Sunday. The borders were closed last week because of concerns about a new coronavirus variant, although it did not specify which one, as well as due to lax adherence inside the sultanate to guidance on wearing face masks and avoiding large social gatherings, Reuters reports. Taiwan is to increase the number of people who have to quarantine at home by more than double to 5,000 as it seeks to contain a rare domestic cluster of Covid cases connected to a hospital, Reuters reports. While Taiwan has kept the pandemic well under control thanks to early and effective prevention, with the large majority of its 890 infections imported cases, it has since 12 January been dealing with a small number of domestic transmissions at a hospital. While the 15 people infected so far at the hospital in the northern city of Taoyuan is small compared to many other parts of the world, it has unnerved the government, which has cancelled many large-scale events related to the upcoming Lunar New Year. Health minister Chen Shih-chung told reporters that they will expand the number of people who have to quarantine at home for 14 days who may have had contact with the infected patients from the hospital cluster. He put the number at about 5,000 people, compared to around 1,300 who are currently in quarantine. Despite the new infections, Taiwan only has 95 active cases being treated in hospital. The government holds news conferences to announce details of every new infection. Dubai has said it is slowing down its rollout of the Pfizer/BioNTech coronavirus vaccine owing to a temporary delay in global deliveries, Reuters reports. Dubai, one of the seven emirates that make up the United Arab Emirates, began mass inoculations in December after the approval of vaccines by Chinese firm Sinopharm and US drugmaker Pfizer and its German partner BioNTech. According to health officials, the UAE has already vaccinated over two million of its approximately 10 million population - one of the highest rate in the world. On Saturday, the Dubai Health Authority said it will scale back on vaccinations after Pfizer announced in mid-January shipment delays for up to a month due to works at its key plant in Belgium. “DHA is working on rescheduling the first dose of the Covid-19 Pfizer-BioNTech vaccine,” it said on Twitter. “The manufacturer has announced the expansion of the vaccine production capacity, which has temporarily affected several countries globally.” It added, however, that all those scheduled to take their second dose of the vaccine should still show up for their appointments. While other tourist destinations are applying tight restrictions to control the pandemic, Dubai reopened to visitors in July, despite a sharp spike in cases. But the glitzy emirate clamped down on its entertainment last week and also suspended non-essential surgery in hospitals after a surge in Covid-19 infections since the New Year. On Saturday, the UAE recorded 3,566 Covid-19, a new high for the 12th consecutive day. It has so far recorded over 274,000 infections, including 783 deaths. Despite dozens of deaths of people shortly after they were vaccinated, the available evidence does</x:v>
      </x:c>
      <x:c r="I39" s="12" t="str">
        <x:v> not incriminate the new Covid vaccines, AFP reports, with health agencies saying that the vast majority of post-vaccination fatalities were elderly, already vulnerable and often sick. Norway sparked alarm last week when it reported the deaths of 33 of some 20,000 retirement home residents who had received a first shot of the Pfizer/BioNTech vaccine. At least 13 of the fatalities were not only very elderly but also considered frail with serious ailments, the Norwegian Institute of Public Health said. While it noted that no analysis had yet been carried out on the causes of the deaths, it suggested that with the aged and vulnerable the normal side effects of vaccination such as fever or nausea could have contributed. Outside Norway the news raised widespread concern and fed anti-vaccine scepticism, prompting the authorities to stress that no link had been established between the vaccine and post-jab deaths. In France, of 800,000 people vaccinated, nine deaths of chronically ill residents of care and retirement homes were recorded by Friday. The national medicines agency ANSM said that based on available evidence, “Nothing leads to the conclusion that the reported deaths were linked to vaccination.” Other examples include 13 deaths of elderly people recorded in Sweden and seven in Iceland, all with no link established. In Portugal, a care worker died two days after being inoculated but the justice ministry said a post-mortem found no direct link. France’s interior ministry on 18 January listed 71 “observations of death” in Europe of people who had the inoculation, but offered no further details. Dutch police have said they arrested 25 people and handed out 3,600 fines for violations of a night-time curfew that went into effect yesterday, and a fresh protest is planned today, Reuters reports. A protest against lockdown measures is planned for Sunday afternoon on Amsterdam’s Museum Square, and mayor Femke Halsema designated the area as a “high-risk zone” to give police the power to frisk people for weapons. Last Sunday, protesters clashed with riot police on horseback on the square, leading to the detention of 143 people. Parliament voted narrowly last week to approve the curfew, swayed by assertions that an English variant is about to cause a new surge in cases. New infections in the country have generally been declining for a month. Police said those who were arrested on Saturday night were people who refused to go home or who committed acts of violence. A group of youths in the fishing village of Urk threw fireworks and rocks at police and burned down a temporary COVID-19 testing centre. Zambia has been allocated 8.7m vaccine doses of the 270m secured this month by the African Union (AU), and this may rise to 25m doses by December 2021, the Zambian mission at the AU has said, Reuters reports. South African president Cyril Ramaphosa, who serves as AU chair, has said the vaccines secured by the AU will be supplied by Pfizer, AstraZeneca, through the Serum Institute of India, and Johnson &amp;amp; Johnson. They will be allocated according to countries’ population size. “If member states have to buy individually, they have to wait until July 2022, but through this mechanism, we can access the vaccines by April 2021,” Zambia’s ambassador to Ethiopia and permanent representative to the AU, Emmanuel Mwamba said in a statement. “The vaccines will require approval from the Africa [Centres for Disease Control and Prevention] and further approval from local regulatory and other approval mechanisms.” The 8.7 million doses will be the Pfizer and AstraZeneca vaccines and Zambia’s allocation may rise to 25 million doses by December 2021 when the J&amp;amp;J vaccine comes on board, Mwamba added. African countries will pay between $3 and $10 per vaccine dose to access the shots secured by the AU, according to a draft briefing on the plan prepared by the African Export-Import Bank and provided to Reuters. Zambia, with a population close to 18 million, has 45,337 COVID-19 cases and 639 people have died from the disease. The shadow home secretary, Nick Thomas-Symonds, has called for quarantine hotels for incoming travellers to the UK and criticised the manner in which coronavirus response services have been outsourced – though without providing a comprehensive alternative. He told Sky News: We need now to put additional protections in place. We do need that effective border testing regime. And we also need an effective quarantining regime, which we’ve not had. The government did not introduce a comprehensive quarantining regime until June last year. The UK was an international outlier. Back in May last year, it was only the UK, Iran, Luxembourg and the US Virgin Isles that had no travel protections in place. The government introduced a quarantining system far too slowly in June of last year. The government’s own figures show that between June of last year and September around about two million people had their passenger locator forms, their details if you like, spot-checked by Border Force at the border. Only around 3% of those were successfully contacted to ensure they were quarantining, now that just isn’t good enough, it isn’t effective. The government hasn’t had a grip on this situation throughout. We desperately need them to get a grip and have that comprehensive plan in place. The Labour government would have taken a very different approach to the set-up of the quarantining system in the first place. The government’s isolation assurance service decided to outsource this system to a company called [Sitel]. The government’s own target of contacting 20% of those coming into the UK hasn’t been met … isn’t nowhere near that. We would actually have used a far more effective system, wouldn’t have outsourced it in the way the government has and we would have acted more quickly. I’ve been raising the issue of border protections from last April. The government needs to introduce quarantining hotels and have an effective testing system in place. And it needs to avoid the situation that we’ve seen over the weekend of those crowds and crowds of people at Heathrow airport. That’s happening because the government does not have this strategy in place. Scotland’s deputy first minister John Swinney says he cannot rule out tougher restrictions, and the use of higher-grade face coverings, for example, is being “actively explored”. Swinney told Sunday Politics Scotland there had been a reduction of about a third in the level of cases in the past fortnight, which was “very encouraging given the very alarming acceleration in cases which took place just after Christmas. We are making progress under the measures we have in place. We will continue to look at what else might be possible to continue that progress. Asked about return to schools, he said he hoped to give two weeks’ notice to parents about return to face-to-face learning, and the Scottish government was exploring the earlier return of particular groups including early learning and childcare, younger primary pupils, older pupils doing national qualifications and those with additional support needs. A GP has described the extended time between doses of coronavirus vaccinations in the UK as an “unregulated and unlicensed trial”. Dr Rosie Shire, a member of the Doctors’ Association UK, told Sky News that studies of the Pfizer/BioNTech vaccine showed two doses three weeks apart gave 90% immunity. What really concerns us is we don’t know what happens if you don’t give that second dose of vaccination after three weeks. The fact is that people are being vaccinated now and being put into what is effectively an unregulated unlicensed trial, whereby they’re receiving this vaccination on the understanding that they don’t know what’s going on.” She added that while three-quarters of all people over 80 in the UK had been given the first dose of a vaccine, this did not mean they were fully vaccinated. Doctors “don’t know” if people are going to be fully vaccinated once they receive the second dose after the 12-week period between doses, Shire said. The EU will make pharmaceutical companies respect contracts they have signed for the supply of Covid vaccines, the European council president, Charles Michel, has said, amid growing frustration over significant delays to agreed schedules. Pfizer said last week it was temporarily slowing supplies to Europe to make manufacturing changes that would boost output. On Friday, AstraZeneca also said initial deliveries to the region would fall short because of a production glitch. “We plan to make the pharmaceutical companies respect the contracts they have signed … by using the legal means at our disposal,” Michel said on Europe 1 radio. He did not mention possible sanctions but said the EU would insist on transparency about the reasons for the delays. He said that after Pfizer’s first warnings about delays of several weeks, the EU had managed to reduce these delays by taking a tough stance. “We banged our fist on the table and finally announced delays of several weeks turned into a slowdown of deliveries,” he said. More than £15,000 in fines were issued after 300 people were caught at a rave in east London, UK, in breach of Covid regulations, police have said. Having received intelligence that an unlicensed music event might be taking place in Hackney on the night of 23 January, officers were deployed to the area. Shortly after 01:30hrs, they found an event underway in a railway arch in Nursery Road, E9. There was loud music coming from inside and it was that a significant number of people were present. Additional resources were deployed, including public order officers, a dog unit and the police helicopter. Numerous attempts were made to engage with organisers and others but they were uncooperative. At one point the doors were padlocked from the inside to stop police getting in. When officers forced entry, they found an estimated 300 people packed inside the small space. Dozens scaled fences at the rear of the arch and others forced open a gate to get away from officers. 78 people were stopped and issued with fixed penalty notices to the value of £200 for breaching Covid regulations by attending an illegal gathering. Ch Supt Roy Smith, who attended the incident, said: This was a serious and blatant breach of the public health regulations and the law in relation to unlicensed music events. Officers were forced, yet again, to put their own health at risk to deal with a large group of incredibly selfish people who were tightly packed together in a confined space - providing an ideal opportunity for this deadly virus to spread. We’ll bring you any more information on this as it emerges. Asked why Scotland’s vaccine rollout was initially slower than elsewhere in the UK, Nicola Sturgeon said that the Scottish government had taken a deliberate decision, in line with JCVI advice, to focus initially on care home residents. She pointed out that Matt Hancock told Marr that three-quarters of those in England had been vaccinated – in Scotland that figure is now 95%. “It takes longer, it’s more resource intensive to do care homes, but it’s the right decision,” she said. She added that 40% of over 80s in Scotland had now been vaccinated and that the Scottish government was “well on track to complete all over 80s by the beginning of February.” She said that over 70s will start getting their appointments from tomorrow. She said that 400,000 doses had now been administered in Scotland, while the remaining doses in Scotland’s 700,000 allocation were being distributed to health boards and GPs. The deputy chair of the Joint Committee on Vaccination and Immunisation (JCVI) has said it is examining data from Israel indicating that immunity after a first dose of Covid-19 vaccine could be as low as 33%. Prof Anthony Harnden told Sky’s Sophie Ridge On Sunday: The Israeli data is preliminary data, it does involve PCR testing which is of course asymptomatic cases as well as symptomatic cases. They have not followed up for more than three weeks and the statistical methods they used are not clear. We will be looking at this in detail but at the moment our clear steer is the delayed second dose strategy is going to save many lives nationally. He added that people could end up needing an annual coronavirus shot to keep up with variations in the virus. We may well be in a situation where we have to have an annual coronavirus vaccine much like we do with the flu vaccine, but the public should be reassured that these technologies are relatively easy to edit and tweak, so once we find strains that are predominant, the vaccines can be altered. At the moment it is really good news that these vaccines we are delivering at the moment do seem to be effective against the major circulating strains and the variant strains in the UK at the moment. Asked why Israel is not vaccinating Palestinians in the country and under occupation in the West Bank – despite the United Nations saying it is their legal obligation to ensure they have access, and pressure from senior rabbis to act – Edelstein says it is prioritising its own citizens. As far as the vaccination is concerned, it’s the Israel obligation first and foremost to its citizens. They pay taxes for that don’t they, but having said that I do remember that it is our interest – not our legal obligation – to make sure Palestinians get the vaccine. That they won’t have Covid-19 spreading. First of all, we could also look to the Oslo agreements where it says loud and clear that Palestinians have to take care of their own health. If it’s the responsibility of the Israeli health minister to take care of the Palestinians, what exactly is the responsibility of the Palestinian health minister - to take care of the dolphins in the Mediterranean? When the Palestinians turned to us, I authorised passing some vaccines to those medical teams who directly work with corona patients in the Palestinian authority and as you can here in this interview, its not because I think that we have a legal obligation, its because they’re doctors and nurses and they [hadn’t got] the vaccine at this stage. After Israel’s health ministry this week rowed back on comments by the country’s coronavirus tsar, who suggested single doses of the Pfizer Covid-19 vaccine had not given as much protection against the disease as had been hoped, the country’s health minister has said there have been cases among those inoculated. Yuli Edelstein told the BBC’s Andrew Marr show: We’re just in the beginning of the campaign, we unfortunately do see cases that after getting the first dose, people do get sick, get the coronavirus. At the same time there are some encouraging signs of less severe diseases, less people hospitalised after the first dose. At this stage its very difficult to say, its not a clinical trial yet ... We sincerely hope we will have better information soon. We still have a very small number of those who we consider fully vaccinated, meaning a week after the second dose, according to Pfizer’s instructions ... We decided to follow their instructions. We have nearly 28% of the population is under the age 16. Of the rest of the population, we want to get to very high numbers, probably to 80%, and then we’ll be able to talk about something that reminds herd immunity. We do have to keep in mind that those who recovered from Covid are not being vaccinated, we consider them at this stage immune. Vaccination is not a panacea ... Corona is still with us and we’ll have to live with this reality for a long time. Germany will become the first EU country to start using the same experimental antibodies treatment credited with helping Donald Trump recover from Covid-19, health minister Jens Spahn has said, AFP reports. “The government has bought 200,000 doses for 400 million euros ($486 million),” Spahn told the Bild am Sonntag newspaper, working out at 2,000 euros per dose. The so-called monoclonal antibody cocktails will be deployed to university hospitals in the coming week, he said, adding that Germany was “the first country in the EU” to use them in the fight against the pandemic. Spahn did not name the manufacturer that will be supplying the drugs but confirmed it was the same medicine given to then-US president Trump when he fell ill with Covid last October. “They work like a passive vaccination. Administering these antibodies in the early stages can help high-risk patients avoid a more serious progression,” Spahn said. Trump, who was briefly hospitalised with the coronavirus, was given the antibody therapy developed by US firm Regeneron, known as REGN-COV2, even before the treatment had won regulatory approval. He later said the medicine did “a fantastic job”. US company Eli Lilly has developed a similar therapy. The novel treatment is a combination or “cocktail” of two lab-made antibodies: infection-fighting proteins that were developed to bind to the part of the new coronavirus that it uses to invade human cells. The antibodies attach themselves to different parts of the virus’s spike protein, distorting its structure - similar in a way to knocking a key out of shape so it no longer fits its lock. Speaking on BBC’s Andrew Marr programme, the UK shadow foreign secretary has said – in response to a question about whether the country should close its borders to countries without high vaccine coverage in the future – that the government needed to take tougher measures. There is no question we need to take border security much more seriously ... We would fully expect the government to bring in tougher quarantine measures, a proper testing strategy and check up on the people quarantining. Only three in 100 people who come into the UK have any checks on quarantining. Moving away from the UK for now, the number of confirmed coronavirus cases in Germany has increased by 12,257 to 2,134,936, data from the Robert Koch Institute for infectious diseases showed today. The reported death toll rose by 349 to 51,870, the tally showed, Reuters reports. Asked for a simple yes, no or don’t know answer to the question “Are schools going to return at Easter?”, Hancock says “I would hope so”. “We have to look at the data and the vaccination programme,” he adds. Hancock is asked about the policy to delay the second dose of the vaccine. He says the policy “will save lives”. So long as there is decent efficacy after the first dose - and we have a high degree of confidence that is the case - in a situation where is a limited supply, you want to get as many people to get as much protection as quickly as possible. If you have two grandparents in their 70s or 80s and you have two doses of vaccine, you would obviously want each of them to have one dose rather than one to have two and the other to have no protection. This is the way to save the most lives fastest. On borders, Hancock says the discussion has now changed. He says the UK cannot risk the progress that has been made by the vaccination programme by allowing variants into the country from Brazil and South Africa. “It is absolutely vital” we protect the country from any variant that might not respond as well to vaccines, he adds Asked about the proposal to pay those testing positive £500 in order to encourage them to comply with the rules on self-isolation, Hancock avoids a specific reply but urges people again to follow the rules and to self-isolate. Of course we are working on how to strengthen that system. The policy you mentioned is not government policy. But the purpose is to ensure that the most important bit of all of the self-isolation rules – which is the self-isolation either if you’re positive or are a contact - that those work as effectively as possible Hancock says the UK is “a long, long, long way” from the case rate being low enough for restrictions to be lifted but says there is early evidence the lockdown is starting to work. Asked why the current UK restrictions are lighter than they were in March of last year, he says he is confident that the country had the right level of restrictions in place. Matt Hancock, the UK health secretary is being interviewed on Sky News. Asked about how worried people should be about the deadliness of the UK variant, says it is important people follow the rules. The scientists do think it may be more deadly, and they have put various estimates on that - from about 10% more deadly to a bit more than that. We are not exactly certain about how much more deadly. But what matters is we have to get this virus under control and the only way you do that is by reducing social contact and following the rules. Hancock, whose period in self-isolation after he was pinged by the NHS app, has come to an end this morning, says one of the studies suggests the UK variant could be up to 50% more deadly and points out there are still uncertainties around it. That’s it from me, Helen Sullivan, for today. Thanks for following along – my colleagues in London will take you through the next few hours of global pandemic news. Nearly 95% of councils in England have concerns about the possibility of having to hold elections in May, a poll suggests. A number of elections are due to be held later this year, including those for the Mayor of London, local authorities in England, and police and crime commissioners. PA Media reports that many of these were postponed from May 2020 due to coronavirus, and Local Government Information Unit (LGIU) research found more than two thirds (68%) of authorities in England felt an autumn timetable is more achievable. The survey, involving 374 council chief executives, democratic services officers and council leaders, found 66% were very concerned about holding elections in May, and a further 28% somewhat concerned. Only 1% of respondents were “not at all concerned”. Their main fear, according to the poll, was preparing for an election on May 6 only to have it postponed (86%), while worries about recruiting and training electoral workers (80%) and disenfranchising voters with Covid concerns (71%) were also recorded. • This segment was amended on 25 January 2021 because the heading referred to UK council elections when the text was about England. Here are the key pandemic developments from the last few hours: Vaccinated may still pass virus on, said England’s deputy chief medical officer. Coronavirus vaccines may not fully prevent people from passing the virus on to others and people who have had the jab should still continue to abide by lockdown restrictions, the deputy chief medical officer for England said. Professor Jonathan Van-Tam said that if those who have been vaccinated begin easing off because they are protected, they are potentially putting at risk those further down the priority list who still need inoculation. Boris Johnson and Joe Biden share hopes for end to Covid on first call. After the call with Biden, the UK prime minister tweeted: “Great to speak to President Joe Biden this evening. I look forward to deepening the longstanding alliance between our two countries as we drive a green and sustainable recovery from Covid-19.” New Zealand records first Covid community case in two months. A 56-year-old woman has tested positive for Covid-19 in New Zealand, after being released from government managed isolation following two negative tests. It is the first community case in the country since 18 November. The woman in New Zealand who tested positive returned two negative Covid tests while staying in government-managed isolation at the Pullman hotel, having arrived from London. Egypt to start Covid-19 vaccination campaign: Sisi. President Abdel Fattah al-Sisi announced Saturday that Egypt would start rolling out a mass Covid-19 vaccination campaign the following day with the Chinese-made Sinopharm jab, AFP reports. Australia on track to receive vaccine from February, says treasurer. Australian treasurer Josh Frydenberg insists Australia is still on track to receive the Pfizer coronavirus vaccine from February, as new figures suggest people are more than happy to get their jab, Australian Associated Press reports. Australia reported zero new local cases. There were no new locally acquired Covid-19 cases recorded across Australia on Sunday, while four new infections were reported in hotel quarantine in NSW and Victoria, AAP reports. The US is nearing 25m cases. I’ll post a summary shortly. For now, the US is nearing an astonishing 25 million cases of coronavirus – a quarter of the global total and one in every thirteen people in the country. There are currently 24,994,465 confirmed infections, according to the Johns Hopkins University tracker. UK to quarantine arrivals from high-risk countries – reports. Prime Minister Boris Johnson’s government is preparing to force travelers from countries where there is a high risk of Covid to go into quarantine for 10 days after arriving in Britain, the Daily Mail reported on Saturday. Three infections linked to Australian Open confirmed as UK strain. Coronavirus infections linked to the Australian Open are continuing to emerge, with a further three non-players - two men in their 30s and one in his 50s confirmed to have the highly contagious UK strain of the virus. Mainland China confirmed 80 new coronavirus cases on 23 January,down from 107 cases a day earlier, the country’s national health authority said on Sunday. The National Health Commission, in a statement, said 65 of the new cases were local infections. The number of new asymptomatic cases, which China does not classify as confirmed cases, fell to 92 from 99 cases a day earlier. The total number of confirmed cases in Mainland China now stands at 88,991, while the death toll remained unchanged at 4,635. A possible community case of Covid is being reported in the northernmost New Zealand province of Northland. The “probable” case is in the community, a ministry of health spokesperson said, rather than a managed isolation facility. The director-general of health Dr Ashley Bloomfield, and the minister of covid-19 response, Chris Hipkins, will hold a media stand-up at 4pm to share the latest information. It has been a year since the Wuhan lockdown. The Chinese city of Wuhan marks one year since the start of its traumatic 76-day coronavirus lockdown. On 23 January 2020, Wuhan shocked the globe by confining its 11 million anxious citizens to their homes, starting a cycle that would spread across the world. But China largely brought its outbreak under control and Wuhan is nothing like the ghost town of a year ago, with traffic humming, sidewalks bustling, and citizens packing public transport and parks. Hong Kong and Oslo tightened measures. Thousands of people in one of Hong Kong’s poorest and most densely packed districts have been ordered to stay in their homes. Norway’s government, meanwhile, has imposed the strictest restrictions seen in the region of the capital, Oslo, since March after the discovery of the British variant in a retirement home. A French lockdown ‘likely’. A French government source has told AFP that “the hypothesis of confinement is more and more likely,” citing projections of a surge in cases due to the more transmissible British strain. Fabric masks still work, said the WHO. The World Health Organization says it has no plans to change its guidance recommending fabric face masks as new coronavirus variants spread because the mutated strains are transmitted in the same way. The statement comes after Germany and Austria made medical masks mandatory on public transport and in shops, allowing only surgical or FFP2 masks rather than fabric. There is a shortage of vaccines in Brazil. Brazil has just started its vaccination campaign but scientists are already warning the hard-hit country will quickly run out of doses and even syringes, some blaming the government for the shortages. Three men have been arrested as part of an investigation into fraudulent coronavirus bounce-back loans totalling £6m, PA Media reports. The National Crime Agency said all three men worked for the same London financial institution and are suspected of using their “specialist knowledge” to carry out the scam. Two of the suspects, aged 30 and 31, were arrested at their office by members of the NCA’s Complex Financial Crime team, while the third, aged 30, was arrested at an address in Camden. The government’s bounce-back loan scheme was introduced in May to give small and medium-sized firms access to low-interest finance quickly. Companies can borrow between £2,000 and up to 25% of their turnover, up to a maximum of £50,000. Under the terms, the government guarantees 100% of the loan and there are no fees or interest for the first 12 months, with an interest rate of 2.5% a year after that. The £6m in bogus claims are believed to have been made through the use of false data and documents, the NCA said. The three suspects have been released while inquiries into the extent of the fraud and the possibility of others being involved continue. The UK is set to reach a grim milestone of 100,000 deaths by the end of January after a year of missed opportunities has led to one of the worst Covid fatality rates in the world. The Guardian’s Robin McKie takes a look at the past year: In normal times Paris’s famous Place du Tertre – the “artists’ square” – is packed with tourists and visiting out-of-towners, even on a chilly January afternoon. In the time of coronavirus, however, the square, home to painters, portraitists, caricaturists and silhouette artists, is almost entirely deserted. The cafes and brasseries are closed, their terrace chairs chained up, and only a handful of the more optimistic artists have braved the cold for a few hours before the 6pm curfew kicks in: Here is a look at some of today’s coronavirus-related UK front pages: Coronavirus vaccines may not fully prevent people from passing the virus on to others and people who have had the jab should</x:v>
      </x:c>
      <x:c r="J39" s="12" t="str">
        <x:v> still continue to abide by lockdown restrictions, the deputy chief medical officer for England said. PA Media: Professor Jonathan Van-Tam said that if those who have been vaccinated begin easing off because they are protected, they are potentially putting at risk those further down the priority list who still need inoculation. His warning came as the latest Government figures showed the number receiving the first dose of the vaccine across the UK has passed 5.8 million, with a record 478,248 getting the jab in a single day. The Observer view on government support for low-paid to halt spread of Covid-19 Exactly a year after the Chinese city of Wuhan went into the world’s first coronavirus lockdown, the Covid-19 death toll continues to mount. In the UK, we are losing more than 1,200 people a day to the virus and the total number of people who have died is almost 100,000. Countless people have lost someone they loved to this disease. It is a national tragedy whose scale would have been unthinkable in early 2020. Most governments have been struggling to contain this virus. The new variant circulating in the UK, thought to be 30-70% more infectious, and which scientists think might be more deadly, poses new challenges as the vaccine gets rolled out. But our government has repeatedly made serious errors that have resulted in a higher-than-necessary death toll. The government’s consistent hesitancy in taking swift action to contain the spread of the virus has cost lives. It imposed a national lockdown too late last March, again left it too late last autumn, and went ahead with relaxing restrictions in the run-up to Christmas against the advice of many scientific experts. It should have introduced a national lockdown more quickly in light of the growing evidence that the new variant was more infectious. The prime minister’s reluctance to make difficult decisions – together with a lack of cabinet competence that has manifested itself in the shambolic roll-out of test and trace, for example – has proved lethal: Leading vaccine experts have backed the government’s decision to delay the second dose for up to three months, after doctors warned that the strategy was proving “ever-more difficult to justify”. The British Medical Association (BMA), which represents doctors, has suggested that the UK has become “increasingly isolated internationally” by deciding that the second dose of the Pfizer vaccine can be delayed, and called for a maximum delay of six weeks. However, several prominent scientists backed the government’s plan to maximise the number of people receiving their first dose. The Guardian’s Michael Savage, Robin McKie and James Tapper report: The number of confirmed coronavirus cases in Germany increased by 12,257 to 2,134,936, data from the Robert Koch Institute for infectious diseases showed on Sunday. The reported death toll rose by 349 to 51,870, the tally showed. Thailand on Sunday confirmed 198 new coronavirus cases, taking its total number of confirmed infections to 13,500, Reuters reports. Seven of the new infections were imported, a coronavirus taskforce told a briefing. One additional coronavirus-related death was recorded, bringing total fatalities to 73 since the outbreak began last year. There were no new locally acquired Covid-19 cases recorded across Australia on Sunday, while four new infections were reported in hotel quarantine in NSW and Victoria, AAP reports. Health Minister Greg Hunt believes new immunisation figures show Australians have faith in the TGA to provide expert advice and ensure the safety and efficacy of all vaccines provided to the community. Immunisation rates for five-year-olds are now beyond the aspirational target of 95% coverage, reaching 95.09% in the December quarter of 2020 and exceeding the World Health Organisation estimated international average of 86 per cent. “Reaching our target of 95% supports herd immunity to stop the spread of vaccine-preventable diseases,” Mr Hunt said in a statement on Sunday. “These figures show Australians have both the capacity and the will to lead the world in taking up Covid-19 vaccines, as they recognise how important vaccination is, and how it protects and saves lives.” Aboriginal and Torres Strait Islander children at five years old have the highest rates of immunisation in the country at 97.25%. At the same time, Australia’s seasonal influenza vaccination program continues to provide increasing numbers of vaccines to Australians of all ages. A 56-year-old woman has tested positive for Covid-19 in New Zealand, after being released from government managed isolation following two negative tests. It is the first community case in the country since 18 November. It came as neighbouring Australia, which had also been hailed for its success in battling coronavirus until a recent spate of community cases, recorded zero cases of local transmission across the country on Sunday. The woman in New Zealand who tested positive arrived in Auckland on 30 December after travelling in Spain and the Netherlands for four months. She returned two negative Covid tests while staying in government-managed isolation at the Pullman hotel, having arrived from London. The woman was released from the Pullman on 13 January and travelled around south Northland with her husband, visiting as many as 30 locations, including popular holiday spots, AirBnbs, and shops. In the last week, the woman began experiencing very mild symptoms, including muscle aches. Having returned two negative tests the woman did not suspect Covid-19 until she returned a positive test late on Saturday. Director general of health Dr Ashley Bloomfield said the woman and her husband were now in self-isolation in their home south of Whangarei, and the woman did not require hospital care. Boris Johnson has had his first call with Joe Biden since the new US president entered the White House on Wednesday. Downing Street said Johnson congratulated Biden on his inauguration and that the two leaders looked forward to “deepening the close alliance” between their nations. After the call, the prime minister tweeted: “Great to speak to President Joe Biden this evening. I look forward to deepening the longstanding alliance between our two countries as we drive a green and sustainable recovery from Covid-19.” A No 10 spokesperson said the prime minister warmly welcomed Biden’s decision to rejoin the Paris agreement on climate change and the World Health Organization. “The prime minister praised President Biden’s early action on tackling climate change and commitment to reach net zero by 2050,” the spokesman said: In the UK, ministers are at the centre of an explosive row over their failure to protect workers from Covid-19 as the Observer reveals the largest workplace outbreak of the virus has taken place at a top government organisation. More than 500 cases have been recorded at the Driver and Vehicle Licensing Agency’s offices in Swansea, where employees claim people with symptoms were encouraged to return to work while vulnerable workers have had requests to work from home turned down. The revelation places the transport secretary, Grant Shapps, under pressure to explain how such an outbreak could have happened in an agency where the strictest workplace rules are supposed to apply: Treasurer Josh Frydenberg insists Australia is still on track to receive the Pfizer COVID-19 vaccine from February, as new figures suggest people are more than happy to get their jab, Australian Associated Press reports. The Therapeutic Goods Administration is due to approve the Pfizer vaccine, and others Australia has signed up to, in the coming weeks. “We are not about to cut corners,” Mr Frydenberg told reporters in Melbourne on Sunday. He said Australia is not in the same position as the US and UK where there are tens of thousands of cases each day with many lives lost. “We have the virus under control here in Australia,” the treasurer said. “But we do want to roll out the vaccine, that’s why the TGA’s is going through its normal processes and we are still on track to receive this Pfizer vaccine, mid to late February.” Calls from adults worried about a child’s welfare to the NSPCC’s helpline have jumped by 50% over the course of the pandemic, the charity has said. PA Media: NSPCC said it was now receiving more than 30 calls a day from grown-ups worried that a child is living with domestic abuse, up 53% from pre-pandemic levels. The charity warned the situation is likely to get worse as lockdown continues, and is calling for the UK Government to make extra provisions for child victims in its Domestic Abuse Bill. The bill, hailed as a piece of landmark legislation, has had its second reading and is due to begin the committee stage on Monday. The NSPCC is calling for an amendment that would legally oblige all local authorities to fund community-based recovery services for child victims. People who experience domestic abuse in childhood can experience difficulty learning, depression, eating disorders and addiction as they go through adolescence into adulthood. The charity fears that without a statutory obligation, budgets for community-based support could be diverted to fund services such as refuges. When the bill becomes law, councils will have to ensure all those who become homeless as a result of domestic abuse are prioritised for emergency housing. The NSPCC wants funding for community-based services - such as those that provide counselling to help child victims of domestic abuse to recover - also enshrined into law. It is also calling for adequate funding for local agencies so they can meet all their obligations once the bill becomes law. PA Media reports that, according to a group of scientists, it could be necessary in the future to vaccinate domestic animals such as cats and dogs against Covid-19 to curb the spread of the virus. Coronavirus can infect a wide range of species including cats, dogs, mink and other domesticated species, experts from the University of East Anglia, Norwich-based research facility the Earlham Institute and University of Minnesota have said. In an editorial for the journal Virulence, they wrote that continued evolution of the virus in animals followed by transmission to humans “poses a significant long-term risk to public health”. “It is not unthinkable that vaccination of some domesticated animal species might... be necessary to curb the spread of the infection,” they said. Last year, Denmark’s government culled millions of mink after it emerged that hundreds of Covid-19 cases in the country were linked with coronavirus variants associated with farmed mink. President Abdel Fattah al-Sisi announced Saturday that Egypt would start rolling out a mass Covid-19 vaccination campaign the following day with the Chinese-made Sinopharm jab, AFP reports. “We are starting a vaccination drive tomorrow beginning with healthcare workers followed by those suffering from chronic diseases and later the elderly,” Sisi said in brief comments after unveiling several development projects in Port Said. Egypt, the Arab world’s most populous country, received its first batch of the Sinopharm vaccines in December. Earlier this month, Health Minister Hala Zayed said Egypt would also receive 40 million doses, mostly of the AstraZeneca/Oxford jab, via the Gavi vaccine alliance, with the aim of inoculating 20 percent of its more than 100 million strong population. Egypt has registered over 160,000 novel coronavirus infections, including more than 8,850 deaths. Health officials have warned that low testing rates mean the real number could be at least 10 times higher. In December, the UK reported a Covid-19 variant of concern, commonly referred to as the B117 variant, which appeared to be more transmissible. Since then, scientists have established that B117 is somewhere between 50% to 70% more transmissible than other variants. If more people are getting sick, there is more pressure on health systems, and in the UK health services are so overloaded a country-wide lockdown has been enforced. While many scientists say B117 does not appear more deadly, researchers on the UK government’s New and Emerging Respiratory Virus Threats Advisory Group found it may increase the death rate by 30% to 40%, though their sample size was small and they said more research is needed. With B117 now detected in more than 50 countries, understanding the variant is urgent. But other variants of concern have also been identified, including in California, South Africa and Brazil. So exactly what is a variant, and how many are there? And why are some variants of more concern than others? Answers at the link below: And what a year it has been. In just over a month’s time, I will have been liveblogging international developments in the coronavirus pandemic for eight hours a day, every day on the global blog – which has been running non-stop around the world almost uninterrupted for more than a year. This time last year, I was living in Beirut, having just returned from reporting on the bushfires in Australia. Where were you at the end of January 2020? Let me know on Twitter @helenrsullivan. In Australia, the state minister for health in New South Wales has noted that Monday will mark a year since the state confirmed its first four cases of coronavirus. Today marks a week with no new local cases confirmed in the state: Here is a summary of the key developments from the last few hours: The US is nearing 25m cases. I’ll post a summary shortly. For now, the US is nearing an astonishing 25 million cases of coronavirus – a quarter of the global total and one in every thirteen people in the country. There are currently 24,985,689 confirmed infections, according to the Johns Hopkins University tracker. UK to quarantine arrivals from high-risk countries – reports. Prime Minister Boris Johnson’s government is preparing to force travelers from countries where there is a high risk of Covid to go into quarantine for 10 days after arriving in Britain, the Daily Mail reported on Saturday. Three infections linked to Australian Open confirmed as UK strain. Coronavirus infections linked to the Australian Open are continuing to emerge, with a further three non-players - two men in their 30s and one in his 50s confirmed to have the highly contagious UK strain of the virus. Mainland China confirmed 80 new coronavirus cases on 23 January, down from 107 cases a day earlier, the country’s national health authority said on Sunday. The National Health Commission, in a statement, said 65 of the new cases were local infections. The number of new asymptomatic cases, which China does not classify as confirmed cases, fell to 92 from 99 cases a day earlier. The total number of confirmed cases in Mainland China now stands at 88,991, while the death toll remained unchanged at 4,635. A possible community case of Covid is being reported in the northernmost New Zealand province of Northland. The “probable” case is in the community, a ministry of health spokesperson said, rather than a managed isolation facility. The director-general of health Dr Ashley Bloomfield, and the minister of covid-19 response, Chris Hipkins, will hold a media stand-up at 4pm to share the latest information. It has been a year since the Wuhan lockdown. The Chinese city of Wuhan marks one year since the start of its traumatic 76-day coronavirus lockdown. On 23 January 2020, Wuhan shocked the globe by confining its 11 million anxious citizens to their homes, starting a cycle that would spread across the world. But China largely brought its outbreak under control and Wuhan is nothing like the ghost town of a year ago, with traffic humming, sidewalks bustling, and citizens packing public transport and parks. Hong Kong and Oslo tightened measures. Thousands of people in one of Hong Kong’s poorest and most densely packed districts have been ordered to stay in their homes. Norway’s government, meanwhile, has imposed the strictest restrictions seen in the region of the capital, Oslo, since March after the discovery of the British variant in a retirement home. A French lockdown ‘likely’. A French government source has told AFP that “the hypothesis of confinement is more and more likely,” citing projections of a surge in cases due to the more transmissible British strain. Fabric masks still work, said the WHO. The World Health Organization says it has no plans to change its guidance recommending fabric face masks as new coronavirus variants spread because the mutated strains are transmitted in the same way. The statement comes after Germany and Austria made medical masks mandatory on public transport and in shops, allowing only surgical or FFP2 masks rather than fabric. There is a shortage of vaccines in Brazil. Brazil has just started its vaccination campaign but scientists are already warning the hard-hit country will quickly run out of doses and even syringes, some blaming the government for the shortages. An update on New Zealand now, where a possible community case of Covid is being reported in the northernmost province of Northland. The “probable” case is in the community, a ministry of health spokesperson said, rather than a managed isolation facility. The director-general of health Dr Ashley Bloomfield, and the minister of covid-19 response, Chris Hipkins, will hold a media stand-up at 4pm to share the latest information. The last case of covid-19 in the community was recorded in Auckland on November 18 and contained within a matter of days after central Auckland was shut down. Overall less than 2000 people contracted coronavirus in 2020, and 26 people died. New Zealand is pursuing an elimination strategy towards the disease. Mexico’s Health Ministry on Saturday confirmed 20,057 new confirmed cases of coronavirus infection and 1,470 additional fatalities, bringing the country’s total to 1,752,347 cases and 149,084 deaths, Reuters reports. The government has said the real number of infected people is likely significantly higher than the confirmed cases. Mainland China confirmed 80 new coronavirus cases on 23 January, Reuters reports, down from 107 cases a day earlier, the country’s national health authority said on Sunday. The National Health Commission, in a statement, said 65 of the new cases were local infections. The number of new asymptomatic cases, which China does not classify as confirmed cases, fell to 92 from 99 cases a day earlier. The total number of confirmed cases in Mainland China now stands at 88,991, while the death toll remained unchanged at 4,635. Victoria has recorded its 18th straight day without a local coronavirus case as the state’s residents enjoy greater freedom to gather indoors, AAP reports. The zero cases recorded on Saturday - as well as one case in Victoria’s hotel quarantine system - came from just under 12,000 tests. Only 30 active coronavirus cases remain in the state. It comes as more visitors are allowed in Victorian households, with the indoor gathering limit at homes doubled from Saturday from 15 to 30. The smaller limit on home gatherings had been introduced on New Year’s Eve as the state battled a cluster linked to a Black Rock Thai restaurant. More Victorians stranded interstate will also be able to return home, thanks to a further easing of interstate border restrictions. Prime Minister Boris Johnson’s government is preparing to force travelers from countries where there is a high risk of Covid to go into quarantine for 10 days after arriving in Britain, the Daily Mail reported on Saturday. Via Reuters: Travellers from Brazil and South Africa, and neighbouring countries, will be met on arrival and escorted to hotels to quarantine, under plans being discussed by UK ministers, the Daily Mail said. Johnson favoured a more targeted approach than making all air passengers go into quarantine, said the report, which added that the quarantine decision would be taken on Monday. Britain has recorded more than 3.5 million Covid infections - the fifth-highest in the world - and nearly 96,000 deaths. Coronavirus infections linked to the Australian Open are continuing to emerge as the states and territories continue their run of no new locally acquired cases. Victorian authorities on Saturday reported one new case linked to the Open, a man in his 20s who is not a player. A further three non-players - two men in their 30s and one in his 50s - have meanwhile been confirmed to have the highly contagious UK strain of the virus. Covid-19 Quarantine Victoria said all three had been in hard lockdown since they landed in Melbourne. “The residents arrived in Melbourne on a dedicated Australian Open charter flight on 15 January and returned their first positive tests on 15, 17 and 18 January,” a spokesperson said. There are 10 active cases linked to the Open and 970 people associated with the tournament in quarantine. A possible outbreak of Covid-19 is being reported in New Zealand, in the northernmost province of Northland. The probable case has emerged in the community, but is NOT a probable case of community transmission, according to the New Zealand Department of Health. The outbreak - if confirmed - is said to be related to a person recently released from a managed isolation facility, the New Zealand Herald reports. The director-general of health Dr Ashley Bloomfield, and the minister of covid-19 response, Chris Hipkins, will hold a media stand-up at 4pm to share the latest information. New South Wales has recorded no new locally acquired cases of Covid-19 on Sunday and three in hotel quarantine. It brings the number of new cases listed in Australia today to four, all in hotel quarantine, after Victoria reported one new case in Melbourne’s quarantine hotels. Queensland has recorded no new cases on Sunday. Health officials in NSW have urged people to get a Covid-19 test if they have any cold or flu symptoms, however mild, after just 11,344 tests were conducted in the 24-hours to 8pm last night – well below the daily target of 30,000 tests. Authorities say they have also detected fragments of the virus in sewage tests at the Warriewood and North Head treatment plants,. The former covers about 70,000 people in the Northern Beaches area, and the latter has a catchment of 1.3 million people from a large chunk of Sydney extending north of the Parramatta River from Western Sydney to Manley. NSW Health said the detection “likely reflects known recent confirmed cases in those areas,” but urged anyone living in those areas to get tested if they had any symptoms. Hello and welcome to today’s live coverage of the coronavirus pandemic with me, Helen Sullivan. I’ll be bringing you the latest developments from around the world, with a focus on Australia, for the next few hours. I’ll post a summary shortly. For now, the US is nearing an astonishing 25 million cases of coronavirus – a quarter of the global total and one in every thirteen people in the country. There are currently 24,981,398 confirmed infections. In Australia, meanwhile, the states of New South Wales and Victoria have recorded zero local cases. We’re awaiting the numbers from Queensland. And three infections in hotel quarantine linked to the Australian Open have been confirmed to be the UK strain of the virus. As always, you can say Hi (or shout at me) on Twitter @helenrsullivan.</x:v>
      </x:c>
    </x:row>
    <x:row r="40" ht="110" customHeight="1">
      <x:c r="A40" s="12" t="n">
        <x:v>37</x:v>
      </x:c>
      <x:c r="B40" s="12" t="str">
        <x:v>NEWS-guardian_api-ab4a777c619a</x:v>
      </x:c>
      <x:c r="C40" s="12" t="str">
        <x:v>ID cards and wider issues of voter engagement | Letters</x:v>
      </x:c>
      <x:c r="D40" s="12" t="str">
        <x:v>https://www.theguardian.com/politics/2016/dec/29/id-cards-and-wider-issues-of-voter-engagement</x:v>
      </x:c>
      <x:c r="E40" s="12" t="str">
        <x:v>data/raw/news/text/NEWS-guardian_api-ab4a777c619a.txt</x:v>
      </x:c>
      <x:c r="F40" s="12" t="str">
        <x:v>data/raw/news/text/NEWS-guardian_api-ab4a777c619a.txt</x:v>
      </x:c>
      <x:c r="G40" s="12" t="n">
        <x:v>5235</x:v>
      </x:c>
      <x:c r="H40" s="12" t="str">
        <x:v>It is far too easy to impersonate someone at a polling station and claim their vote (Voters in local elections will be required to show ID in anti-fraud trials, 28 December). But there is little evidence that the problem is widespread. The Electoral Commission found that there were 19 allegations made following the EU referendum relating to personation at a polling station (some of which resulted in no further action decisions), while a total of 33,577,342 votes were cast. A far greater problem, according to the government’s own estimates, is that levels of electoral registration have declined from around 95% in the 1950s to around 82/83% in recent years. Most polling stations in the 2015 general election turned away people who may well have been entitled to vote. The government should therefore be taking steps to make sure that every person entitled to vote is actually included on the electoral registers. Much more could be done very easily and at minimal cost to include those people who will soon reach the age of 18 and those registering at colleges etc. People should also be able to check online whether or not they are currently registered. Chris Rennard Liberal Democrat, co-chair, all party group on democratic participation, House of Lords • The government is correct to ignore some of Eric Pickles’ more retrograde recommendations such as banning selfies and non-English languages at polling stations. It is also correct to seek to address the current lack of voter verification we see throughout elections. However, the government risks isolating communities by ruling out the possibility of introducing a separate voter identity document for those without traditional forms of ID. A real pilot scheme would test all viable options, including a separate voter identity document. Rather than tackling voter fraud, the minister responsible, Chris Skidmore, should be focusing on how to boost voter engagement. Estimates show that 95% of the UK’s 19,000 elected politicians were voted in on turnouts of less than 50%. In the EU referendum, 13 million people did not vote. On top of that, voters with vision impairments, voters with disabilities and voters abroad are virtually locked out of the voting system. Rather than tinkering with a broken system of the past, we should instead look to the future of elections and create a system fit for the 21st century. Areeq Chowdhury Chief executive, Institute for Digital Democracy, London • Yet again we are being told Brits don’t need ID cards. So to show we are entitled to vote, open a bank account, get NHS access etc, we will still have to fiddle around with passports, driving licences, utility bills. Why? One piece of ID is all anyone needs. National insurance numbers are automatically issued at age 16. Why not start at birth or when naturalised or given right of residence? A simple way to prove who you are. Or am I the simple one? Teresa Gautrey Wokingham, Berkshire • As important as the identity of the voter is the secrecy of the ballot (Voter IDs could disenfranchise millions, 28 December). The present system allows checking on how you voted by the simple method of the polling clerk issuing voting slips from a cheque-book-like arrangement, with the left-hand stub on which your polling number is recorded bearing an identifying number corresponding to the same number in the corner of the counterfoil which is torn off for you to vote on. So any voting slip deemed suspicious can be traced back to the relevant stub book. It may be less contentious to issue a national identity card, as in the second world war; less contentious now that a majority has voted in a referendum for more “control”. It may yet be a small price to pay for a proper secret ballot. DBC Reed Northampton • The crowd may want its money back judging by the analysis applied to arrive at the conclusion “the US presidential election outcome was correct”, after “a crowdfunded recount of key states”. One of the election result reviewers (‘My students could hack the US election’, 29 December) claimed “… my undergraduate security class could have changed the outcome of the presidential election”. And previous research having “demonstrated security vulnerabilities in every model of voting machine”, allowing “an attacker to silently rewrite the electronic record of how many votes each candidate received”, surely undermines the reviewer’s claim that “the state can prove statistically that the vote has not been tampered with [by] counting a small but statistically significant, randomly selected sample of ballot papers”. No matter how significant or random the sample, rubbish in means rubbish out. He also concludes that an “auditable paper-trail for electronic voting” is important but it is shocking “how unlikely states are to look at any of the paper”, opening the clear possibility that irregular electronic voting would not have been discovered, so might possibly have been part of a sample. Who can possibly imagine that, once Trump is president, such clearly flawed, “checks and balances” will improve? David Murray Wallington, Surrey • Join the debate – email guardian.letters@theguardian.com • Read more Guardian letters – click here to visit gu.com/letters</x:v>
      </x:c>
      <x:c r="I40" s="12" t="str"/>
      <x:c r="J40" s="12" t="str"/>
    </x:row>
    <x:row r="41" ht="110" customHeight="1">
      <x:c r="A41" s="12" t="n">
        <x:v>38</x:v>
      </x:c>
      <x:c r="B41" s="12" t="str">
        <x:v>NEWS-guardian_api-b48d01a86b76</x:v>
      </x:c>
      <x:c r="C41" s="12" t="str">
        <x:v>Police to question Andrew’s former protection officers over his Epstein links</x:v>
      </x:c>
      <x:c r="D41" s="12" t="str">
        <x:v>https://www.theguardian.com/uk-news/2026/feb/20/police-quiz-former-prince-andrew-protection-officers-over-epstein-links</x:v>
      </x:c>
      <x:c r="E41" s="12" t="str">
        <x:v>data/raw/news/text/NEWS-guardian_api-b48d01a86b76.txt</x:v>
      </x:c>
      <x:c r="F41" s="12" t="str">
        <x:v>data/raw/news/text/NEWS-guardian_api-b48d01a86b76.txt</x:v>
      </x:c>
      <x:c r="G41" s="12" t="n">
        <x:v>5354</x:v>
      </x:c>
      <x:c r="H41" s="12" t="str">
        <x:v>Scotland Yard has announced it is expanding its inquiry into Andrew Mountbatten-Windsor by approaching all his former protection officers and reviewing records of flights at London’s airports to see if they were used for human trafficking. The disclosure by the Metropolitan police is separate to the inquiry that led to the former prince’s arrest on Thursday on suspicion of misconduct in public office, but underlines the complex nature of the multiple investigations now focused on King Charles’s brother. The National Police Chief’s Council (NPCC) is helping to coordinate the work of the eight different forces investigating matters arising from Mountbatten-Windsor’s relationship with the disgraced child sex offender Jeffrey Epstein. Police are understood to be seeking unredacted documents relating to Andrew from the US Department of Justice. In another significant political development, the government said on Friday it would consider introducing legislation to remove Mountbatten-Windsor from the line of succession once the police investigations have concluded. Mountbatten-Windsor spent 11 hours in a Norfolk police station on Thursday, during which his mugshot was taken. Thames Valley police searched his former home at Royal Lodge, Windsor, for a second day on Friday. The Metropolitan police, which provides highly trained protection officers to VIPs, said on Friday it was identifying and contacting current and former serving officers who may have worked closely with Mountbatten-Windsor in a personal protection capacity. “They have been asked to consider carefully whether anything they saw or heard during that period of service may be relevant to our ongoing reviews and to share any information that could assist us,” a statement said. The Met also said it would examine claims that airports in the London area were used by flights linked to Epstein to traffic women. Five other British forces are examining whether such claims about airports in their areas merit full criminal investigation. Airports the Met will look at include Heathrow, Biggin Hill, and RAF Northolt, which hosts private flights. The Met said: “Following the further release of millions of court documents relating to Jeffrey Epstein by the United States Department of Justice, we are aware of the suggestion that London airports may have been used to facilitate human trafficking and sexual exploitation. “We are assessing this information and are actively seeking further detail from law enforcement partners, including those in the United States.” As well as the Met, up to seven other forces so far are seeking the unredacted documents from the Epstein files held by US authorities as they intensify their pursuit of the disgraced financier’s links to British figures. The release of millions of documents held by US authorities about Epstein earlier this month led to the former prince and the former Labour cabinet minister Peter Mandelson being placed under criminal investigation for misconduct in public office after allegedly passing sensitive material to Epstein. Mountbatten-Windsor could not be contacted for comment but has in the past denied wrongdoing in relation to Epstein. Mandelson has denied any criminal wrongdoing and apologised for his association with Epstein. A national coordinating committee has been set up for the various police investigations, led by a serving Met assistant commissioner, Louisa Rolfe, now on secondment to the NPCC. The Guardian understands a senior detective will be recruited by the committee to help coordinate issues such as getting the original documents from the US. The formal requests will be made by National Crime Agency, with some forces saying they will use artificial intelligence to help plough through the mountain of material held in the Epstein files. A senior source said: “There are millions of documents which we want unredacted. We need to turn that into evidence. It is a massive job. You are never going to get a conviction based on a few redacted emails.” The five forces considering claims about the Epstein flights into airports in their area are Norfolk, Essex, Bedfordshire, West Midlands, and Police Scotland. Surrey and Thames Valley police forces are considering claims of sexual wrongdoing by the former prince. The misconduct in public office allegations stem from his time as a UK trade envoy, a role he gained in 2001 before stepping down a decade later over his friendship with Epstein. It is understood the Cabinet Office is ready to provide any government documents connected to Mountbatten-Windsor’s time as a trade envoy if asked by police, although no request is believed to have been made yet. While his role was administered by UK Trade and Investment, a now defunct body co-run by the Foreign Office and the business department, the Cabinet Office is the lead department for such inquiries. It is sorting through documents due to be released about the appointment of Peter Mandelson as ambassador to the US. Mounbatten-Windsor was released on Thursday evening under investigation, which means there are no restrictions on his freedom. Detectives are yet to take formal early investigative advice from the Crown Prosecution Service, a spokesperson for the service said. That suggests any decision about whether the king’s brother will face charges is some time away.</x:v>
      </x:c>
      <x:c r="I41" s="12" t="str"/>
      <x:c r="J41" s="12" t="str"/>
    </x:row>
    <x:row r="42" ht="110" customHeight="1">
      <x:c r="A42" s="12" t="n">
        <x:v>39</x:v>
      </x:c>
      <x:c r="B42" s="12" t="str">
        <x:v>NEWS-guardian_api-b9d210492f43</x:v>
      </x:c>
      <x:c r="C42" s="12" t="str">
        <x:v>Explainer: what are the new Covid rules in the UK from Boxing Day?</x:v>
      </x:c>
      <x:c r="D42" s="12" t="str">
        <x:v>https://www.theguardian.com/world/2020/dec/26/explainer-what-are-the-new-covid-rules-in-the-uk-from-boxing-day</x:v>
      </x:c>
      <x:c r="E42" s="12" t="str">
        <x:v>data/raw/news/text/NEWS-guardian_api-b9d210492f43.txt</x:v>
      </x:c>
      <x:c r="F42" s="12" t="str">
        <x:v>data/raw/news/text/NEWS-guardian_api-b9d210492f43.txt</x:v>
      </x:c>
      <x:c r="G42" s="12" t="n">
        <x:v>1934</x:v>
      </x:c>
      <x:c r="H42" s="12" t="str">
        <x:v>What changes are being made in England? Tier 4, the highest level of coronavirus restrictions, is being extended to cover large swathes of eastern and south-east England. Areas moving to tier 4 are Sussex, Oxfordshire, Suffolk, Norfolk and Cambridgeshire, parts of Essex not yet in the highest tier, Waverley in Surrey and Hampshire, with the exception of the New Forest. Are any other areas moving into a tougher tier? Bristol, Gloucestershire, Somerset including the North Somerset council area, Swindon, the Isle of Wight, the New Forest and Northamptonshire plus Cheshire and Warrington are moving up to tier 3. Elsewhere, Cornwall and Herefordshire are moving up to tier 2. Why are harsher measures being imposed in more areas? New measures are being imposed against a backdrop of increasing infections, hospital admissions and a new more contagious variant in the UK which was announced last week. Where else will see changes to restrictions? In Northern Ireland, a six-week lockdown will start on Boxing Day, with non-essential retail and close-contact services closed and hospitality outlets limited to takeaway services. In the week following Christmas, a form of curfew will be in operation from 8pm, with shops closed from that time and all indoor and outdoor gatherings prohibited until 6am. What about restrictions in Scotland? Mainland Scotland will enter level 4 restrictions from Saturday, with the Scottish government intending the increased measures to last for three weeks. Non-essential shops, pubs and restaurants will have to shut except for takeaways, while only essential travel will be allowed. Have the rules changed in Wales? Tough new restrictions that were eased in Wales for Christmas Day will be reimposed on Saturday. Non-essential retail, close-contact services, gyms and leisure centres have been forced to close, with people told to stay at home and permitted to travel only for “essential reasons”.</x:v>
      </x:c>
      <x:c r="I42" s="12" t="str"/>
      <x:c r="J42" s="12" t="str"/>
    </x:row>
    <x:row r="43" ht="110" customHeight="1">
      <x:c r="A43" s="12" t="n">
        <x:v>40</x:v>
      </x:c>
      <x:c r="B43" s="12" t="str">
        <x:v>NEWS-guardian_api-be5b11434a57</x:v>
      </x:c>
      <x:c r="C43" s="12" t="str">
        <x:v>Call to provide shelter for rough sleepers over UK winter lockdown</x:v>
      </x:c>
      <x:c r="D43" s="12" t="str">
        <x:v>https://www.theguardian.com/society/2021/jan/07/call-to-provide-shelter-for-rough-sleepers-over-uk-winter-lockdown</x:v>
      </x:c>
      <x:c r="E43" s="12" t="str">
        <x:v>data/raw/news/text/NEWS-guardian_api-be5b11434a57.txt</x:v>
      </x:c>
      <x:c r="F43" s="12" t="str">
        <x:v>data/raw/news/text/NEWS-guardian_api-be5b11434a57.txt</x:v>
      </x:c>
      <x:c r="G43" s="12" t="n">
        <x:v>3862</x:v>
      </x:c>
      <x:c r="H43" s="12" t="str">
        <x:v>Homelessness campaigners have demanded an urgent reboot of the government’s “Everybody In” scheme in England to provide safe shelter for thousands of rough sleepers as the UK enters another lockdown, with winter temperatures expected to plummet. They have called on ministers to reissue strict guidance sent out in March within days of the first lockdown, which required local authorities to provide emergency accommodation to anybody at risk of being left out on the street. “With another lockdown in force, rates of infection at record highs and freezing weather, no one should be facing the streets right now. The government has to act decisively and bring absolutely everyone in,” said Polly Neate, the chief executive of the housing charity Shelter. The Crisis charity also called for speedy action: “It can’t be right for people to be sleeping on the streets in the dead of winter during a pandemic, especially when support services relied on by rough sleepers cannot operate,” said Matt Downie, Crisis’s director of policy. Renters’ groups have called for a further extension to the ban on evictions, again in place since March, which is due to end on Monday. Charities are warning of an “avalanche” of private renters turned out of their homes over the next few weeks if no action is taken. During the first lockdown the Everybody In policy saw approximately 29,000 people helped into settled accommodation, with thousands initially housed in budget hotels. The wide scope of the March guidance meant that even people normally ineligible to access homelessness support, such as migrants, were offered help. But since June, when the guidance lapsed, and the economic recession started to deepen, homelessness numbers have been creeping back up in some parts of the country, including London, where there are an estimated 700 rough sleepers on a typical night. The government has promised further measures to protect rough sleepers will be set out soon. But Labour says ministers have been too slow to act, despite warnings months ago, including from doctors who said rough sleepers could die without urgent action. Ministers’ sensitivity over the issue was reflected on Wednesday when the press office at the Ministry of Housing, Communities and Local Government (MHCLG) broke with convention by tweeting a rebuttal to the Labour leader, Keir Starmer, after he tweeted that failure to act urgently on rough sleeping would “cost lives”. Meanwhile, a letter to the Guardian signed on behalf of the 20 members of the Renters Reform Coalition, which includes renters, housing and poverty groups, warns that more people are at risk of eviction than during the first lockdown in March. It says: “The government must now ban evictions for the duration of any lockdown measures, to keep renters safe. A full eviction ban means pausing all court proceedings, as well as bailiff action. Renters should not be forced to attend proceedings that may put their health at risk.” One of the members of the coalition, Citizens Advice, estimates that at least 500,000 private renters across the UK are currently in arrears. The average amount owed on rent is £700, with a total of £360m owed to landlords. Tim Farron, the Liberal Democrat spokesperson on housing, called for the eviction ban to be extended. “It would be nice if the government didn’t leave something this vital to the last minute.” An MHCLG spokesperson said: “We will do everything in our power to prevent people from finding themselves sleeping rough or homeless this winter, and that remains the policy of the government. “The ongoing ‘Everyone In’ campaign is protecting thousands of lives. We’ve housed 29,000 vulnerable people; including supporting 19,000 into settled accommodation or with ‘move on’ support. We’re ensuring councils and voluntary organisations have the tools and funding they need.”</x:v>
      </x:c>
      <x:c r="I43" s="12" t="str"/>
      <x:c r="J43" s="12" t="str"/>
    </x:row>
    <x:row r="44" ht="110" customHeight="1">
      <x:c r="A44" s="12" t="n">
        <x:v>41</x:v>
      </x:c>
      <x:c r="B44" s="12" t="str">
        <x:v>NEWS-guardian_api-c726af230abd</x:v>
      </x:c>
      <x:c r="C44" s="12" t="str">
        <x:v>Revealed: dozens of children still treated on adult psychiatric wards</x:v>
      </x:c>
      <x:c r="D44" s="12" t="str">
        <x:v>https://www.theguardian.com/society/2016/nov/13/revealed-dozens-of-children-still-treated-on-adult-psychiatric-wards</x:v>
      </x:c>
      <x:c r="E44" s="12" t="str">
        <x:v>data/raw/news/text/NEWS-guardian_api-c726af230abd.txt</x:v>
      </x:c>
      <x:c r="F44" s="12" t="str">
        <x:v>data/raw/news/text/NEWS-guardian_api-c726af230abd.txt</x:v>
      </x:c>
      <x:c r="G44" s="12" t="n">
        <x:v>5412</x:v>
      </x:c>
      <x:c r="H44" s="12" t="str">
        <x:v>Dozens of children and young people with mental health problems are still being treated on wards containing adults with sometimes severe psychiatric problems despite ministers having supposedly outlawed the practice in 2010, the Guardian can reveal. Mental health campaigners condemned the persistence of the problem and said it was completely unacceptable for vulnerable minors to be subjected to what many find a “terrifying” experience. The Liberal Democrat health spokesman Norman Lamb, who had responsibility for mental health care in the coalition government, said putting children on adult wards was scandalous and must be ended at once. Official figures from mental health hospitals collated by NHS Digital, the health service’s statistical arm, show that 47 children and young people aged 17 or under were treated on adult psychiatric wards in July. Of those, 21 were aged 17, another 18 were 16 and the other eight were aged 15 or under. There is particular anxiety that under-16s are still receiving treatment in adult settings as the government made clear six years ago that this should never happen. Gordon Brown’s Labour administration placed the “age-appropriate environment duty” on NHS mental heath trusts in April 2010 in a bid to end a practice that parents, charities, MPs and the children’s commissioner for England had criticised as unpleasant and traumatising for children. “The simple truth is that this has to end completely. It’s scandalous that the practice continues. It is unsafe and wrong. There must be a clear and unequivocal commitment from this government to eradicate the practice completely without delay”, said Lamb. The duty legally obliges managers of mental health units, under section 131A of the Mental Health Act 1983, to ensure that “the patient’s environment in the hospital is suitable having regard to his age (subject to his needs)”. While it allows 16- and 17-year-olds to still be looked after on adult wards occasionally in exceptional circumstances, such as if they need to be admitted as an emergency, it forbids under-16s ever being treated there. The figures, which the Guardian requested from NHS Digital, cover January to July this year. A total of 39 children aged 15 and under, 131 17-year-olds and 90 children aged 16 were treated on adult wards, though some may have shown up in the figure for more than one month, NHS Digital said. If the same trend is maintained in the rest of the year, that would result in a total of 446 under-18s being treated in adult wards, which would be the highest for many years. A total of 391 children were treated in such wards in 2014-15. Under-18s spent 1,938 days on adult mental health wards between them during April and June, almost double the 1,102 days they spent there from January to March. Most of those occurred in the north of England, where such bed days soared from 35 in the first three months of the year to a massive 1,405 in the second quarter. In that same period, there were 225 such bed days in the Midlands and East of England (down 650 the previous quarter), 185 in London (down from 220) and 125 in the south of England (down from 195), according to NHS Digital’s data. Responding to the figures, the health secretary, Jeremy Hunt, said the number of children in adult psychiatric wards had fallen by 60% since 2010 and such places should be used rarely. He is set to make a major speech on children’s mental health care on Tuesday, weeks after condemning adolescent and child mental health services as the NHS’s most glaring area of failure to meet need. “However, this type of care should be an absolute last resort, once all other avenues have been exhausted,” Hunt said. “But to help ease demand, we recently opened 50 new beds, increasing the total number to the highest there has ever been.” Those 50 took the NHS’s supply of beds in children and young people’s mental health services up to 1,442, though the continued use of adult wards suggests that is not enough. Sarah Brennan, the chief executive of the charity Young Minds, said: “It’s completely unacceptable that vulnerable children are still being treated on adult mental health wards, six years after the government changed the law to stop this from happening. Young people often find it terrifying to be placed alongside much older patients, and say that it adds to their distress rather than helping them.” Meanwhile, new research to be released on Monday reveals huge frustration among parents of children and young people with mental health conditions at the difficulty of obtaining help for them. Two-thirds (66%) of 316 parents surveyed by Young Minds complained that their child had to wait a long time to get treatment. Almost half (49%) said no one believed them when they first raised concerns about their offspring’s mental welfare. Two in five (41%) said thresholds for accessing treatment were too high, which meant their child was deemed not ill enough to warrant NHS care, while 36% had paid a private counsellor, psychologist or other therapist to help their child because NHS care was unavailable. Emma Rigby, chief executive of the Association for Young People’s Health, said: “Not only are many thousands of young people suffering with mental health problems but their parents are suffering, too. They feel helpless, unheard and are desperate to help their young people but don’t have the knowledge or tools.”</x:v>
      </x:c>
      <x:c r="I44" s="12" t="str"/>
      <x:c r="J44" s="12" t="str"/>
    </x:row>
    <x:row r="45" ht="110" customHeight="1">
      <x:c r="A45" s="12" t="n">
        <x:v>42</x:v>
      </x:c>
      <x:c r="B45" s="12" t="str">
        <x:v>NEWS-guardian_api-cc8e272342e5</x:v>
      </x:c>
      <x:c r="C45" s="12" t="str">
        <x:v>Enver Solomon restores our faith in Britain | Letters</x:v>
      </x:c>
      <x:c r="D45" s="12" t="str">
        <x:v>https://www.theguardian.com/world/2025/dec/01/enver-solomon-restores-our-faith-in-britain</x:v>
      </x:c>
      <x:c r="E45" s="12" t="str">
        <x:v>data/raw/news/text/NEWS-guardian_api-cc8e272342e5.txt</x:v>
      </x:c>
      <x:c r="F45" s="12" t="str">
        <x:v>data/raw/news/text/NEWS-guardian_api-cc8e272342e5.txt</x:v>
      </x:c>
      <x:c r="G45" s="12" t="n">
        <x:v>3382</x:v>
      </x:c>
      <x:c r="H45" s="12" t="str">
        <x:v>A brilliant interview as always from Zoe Williams (‘We thought the Rwanda scheme was the worst of it’: Enver Solomon on leading – and leaving – the Refugee Council, 24 November). I only wish this wonderful man had the fortitude to continue in this role, but I can understand why he would feel the need to move on after five years working within the confines of the political arena of “modern” Britain. It exhausts and depresses me just reading about the lack of compassion and basic humanity shown by recent governments. I lost faith in and left the Labour party after decades as a believer that “things could only get better”. Now, as a 75-year-old retiree, I am beginning to realise that politicians cannot make things better, but the Enver Solomons of this world can. He restores my faith in the fact that the country is not all bad when we have such amazing people carrying out such extraordinary roles. I am fortunate enough to have seven beautiful grandchildren, four of whom are the offspring of my son and a wonderful Punjabi girl who we welcomed into our family 17 years ago. I cannot possibly comprehend the thought that they could feel at all threatened. What sort of country am I living in? I naively thought that this horrific attitude to anyone who is seen as having a different culture was a product of an ignorant dying breed. I now know that’s not true when a government I had so much faith in includes a speech about an “island of strangers” and now talks of vulnerable refugees and immigrants as if they are nothing. It’s only by reading about people such as Solomon – and I have faith that there are many more – that I don’t spend my time in despair about where Britain is heading. Linda Payne Leatherhead, Surrey • Enver Solomon’s mother’s South African background, which I share as a former exile, reflects our current first world’s not-so-hidden aims. The primary task of apartheid South Africa was, though, the use of its infamous pass laws system, enabling a world of privilege to keep out, but also use, a poor population to bolster its lifestyle and maintain wealth. This is now the case for the global first world too. In an excellent Guardian article several weeks ago about how Spain is progressively going about managing this dilemma in a far more humane way than apartheid South Africa did, it pays seasonal and other essential workers reasonably on the condition that they return to their country of origin when their tasks are completed, with the proviso that they can return. While nowhere near what I would wish for in sharing the world’s wealth and resources equitably, it at least offers some direction apart from the punitive politicising of refugees who understandably wish to better their lives and that of their families. The poverty of most refugees’ lives back home is beyond the imagination of most of us in our privileged societies that are still reaping rewards from our countries’ exploitative pasts. Peter Speyer London • Thank God there are still people like Enver Solomon in the world. The narrative around asylum seekers is chilling. I have totally lost support of Labour – I don’t even recognise it as the party I have supported all my life. It’s hard to feel positive about the future of the people who have left desperate situations to gain hope for themselves and their children. My heart sinks. Jo Davis Brighton, East Sussex</x:v>
      </x:c>
      <x:c r="I45" s="12" t="str"/>
      <x:c r="J45" s="12" t="str"/>
    </x:row>
    <x:row r="46" ht="110" customHeight="1">
      <x:c r="A46" s="12" t="n">
        <x:v>43</x:v>
      </x:c>
      <x:c r="B46" s="12" t="str">
        <x:v>NEWS-guardian_api-d12e8db585f0</x:v>
      </x:c>
      <x:c r="C46" s="12" t="str">
        <x:v>Flawed council shake-up plans will not deliver savings | Letters</x:v>
      </x:c>
      <x:c r="D46" s="12" t="str">
        <x:v>https://www.theguardian.com/society/2026/feb/24/flawed-council-shake-up-plans-will-not-deliver-savings</x:v>
      </x:c>
      <x:c r="E46" s="12" t="str">
        <x:v>data/raw/news/text/NEWS-guardian_api-d12e8db585f0.txt</x:v>
      </x:c>
      <x:c r="F46" s="12" t="str">
        <x:v>data/raw/news/text/NEWS-guardian_api-d12e8db585f0.txt</x:v>
      </x:c>
      <x:c r="G46" s="12" t="n">
        <x:v>5492</x:v>
      </x:c>
      <x:c r="H46" s="12" t="str">
        <x:v>Polly Toynbee is correct to point out the foolishness of a massive local government reorganisation, given other priorities (Is No 10 seeking its own destruction? Why else would it botch its council plans and hand a victory to Farage?, 18 February). What she does not mention is that this reorganisation will lead to a large increase in inequality. The district councils that are being abolished are rising from the ashes as town and parish councils and, unlike other councils, they can set their own precept and cannot be capped. The largest town councils have budgets of more than £5m and more than 124 parish councils have budgets of over £1m. These councils tend to be in the wealthier suburban and rural areas, and can protect their residents from austerity, unlike residents of large, disadvantaged urban areas. If you live in an area with a parish council, you will have a good library, open spaces and playgrounds will be well maintained, and you will have a thriving youth club. If you do not, your library will have closed and your playground will be covered in glass where the teenagers drink on a Saturday night following the closure of their youth club. The government is giving grants to disadvantaged areas, but they will revert to their previous state within a few years due to a lack of local government funding. Despite the warm words from the chancellor, the cuts continue. David Kennedy Menston, West Yorkshire • The government seems bent on replacing one broken system with another. Local authorities have two broad functions. One is to deliver services equitably, efficiently and economically. The other is to be the living, beating heart of the communities they serve, offering local leadership and advocacy. It is, of course, a question of balance. Councils need to be big enough to be efficient, but small enough to care. Governments do not seem to understand that. Unitary councils are certainly more publicly relatable than the two-tier system. But in choosing a population baseplate of around 500,000, this government has made it clear that any concept of local responsiveness has been abandoned in favour of an ill-conceived search for savings. It is no better than planning on the back of a fag packet. Two “super councils”, as proposed where I live, will simply be too large to be responsive to the needs of such a large and diverse range of towns and smaller population centres. Perversely, it will also be too small to justify a combined mayoral authority, because it is not an economic entity on its own. The proposals represent another centralising nail in the coffin of local government. Of course, if you just want your bins collected, none of that matters. But as a former three-time council chief executive, I pray for another U-turn. Bernard Quoroll Guildford, Surrey • Why Labour is wasting energy on an unnecessary reform of local government is, as Polly Toynbee points out, puzzling. A cynic might suggest that the reason is something scarcely mentioned in the debate: larger authorities with fewer councillors representing local interests offer more scope for the kind of large-scale planning that is needed to take forward the government’s ambitious growth strategy. Westminster finds local council opposition to new runways, roads, railways, housing estates, power stations and so on a nuisance. Maybe local government reorganisation is driven by a desire to weaken it. Peter Taylor-Gooby Canterbury • Polly Toynbee has hit the local government reorganisation nail on the head. As a senior county council officer, I went through the reorganisation in the 1990s. Far from creating a more rational system, it resulted in a hotchpotch of new authorities, some of which struggled to establish sound services, and a puzzling set of changes to county councils. The process took up huge amounts of time and money, and diverted attention from planning and delivering good services into sorting out thousands of details such as changed boundaries, contracts and responsibility for future liabilities (not unlike Brexit). The adage that form should follow function seemed to be less important than working on the assumption that reorganisation was an easy panacea. Looking at exactly what needs doing and seeing how well you could do it through minimal organisational change makes more sense – less exciting, but the public needs good services, not political excitement. Andrew Seber Winchester • My district council, East Devon, is due to be abolished in the name of “efficiency” some 50 years after it was created from an efficiency bonfire of urban and rural councils. The district only consumes 7% of the tax it collects from me, so I see little scope for savings. All the local services it manages – maintaining electoral rolls, running elections, dealing with household waste, street cleaning, local planning, collecting council tax etc – are essential. The only certainty is that I will have fewer councillors to turn to. There is no consensus on how district councils should be reorganised in Devon, and my fear is that rural areas will be cast adrift from the inherently more efficient urban ones. As for mayors, even Andy Burnham might struggle to make himself known in a county that is 70 miles wide and 70 miles deep, with little public transport. David Daniel Budleigh Salterton, Devon • Have an opinion on anything you’ve read in the Guardian today? Please email us your letter and it will be considered for publication in our letters section.</x:v>
      </x:c>
      <x:c r="I46" s="12" t="str"/>
      <x:c r="J46" s="12" t="str"/>
    </x:row>
    <x:row r="47" ht="110" customHeight="1">
      <x:c r="A47" s="12" t="n">
        <x:v>44</x:v>
      </x:c>
      <x:c r="B47" s="12" t="str">
        <x:v>NEWS-guardian_api-de14fda465d9</x:v>
      </x:c>
      <x:c r="C47" s="12" t="str">
        <x:v>I've been unfairly targeted, says academic at heart of National Trust 'woke' row</x:v>
      </x:c>
      <x:c r="D47" s="12" t="str">
        <x:v>https://www.theguardian.com/uk-news/2020/dec/20/ive-been-unfairly-targeted-says-academic-at-heart-of-national-trust-woke-row</x:v>
      </x:c>
      <x:c r="E47" s="12" t="str">
        <x:v>data/raw/news/text/NEWS-guardian_api-de14fda465d9.txt</x:v>
      </x:c>
      <x:c r="F47" s="12" t="str">
        <x:v>data/raw/news/text/NEWS-guardian_api-de14fda465d9.txt</x:v>
      </x:c>
      <x:c r="G47" s="12" t="n">
        <x:v>6000</x:v>
      </x:c>
      <x:c r="H47" s="12" t="str">
        <x:v>The academic at the centre of an escalating row over the National Trust’s efforts to explore links between its properties and colonialism has warned of a “political agenda” to “misrepresent, mischaracterise, malign and intimidate” those involved in the project. Professor Corinne Fowler has drawn comparisons between the vilification of academics, including herself, and attacks by climate-crisis deniers on scientists warning about global heating. She suggested they were a product of social tension. “We are living in times of upheaval, when life feels fragile and uncertain. In this fraught environment, it is easy to incite hatred or disdain by misrepresenting the work and motivations of academics and curators. It is also true that the levels of intolerance and hostilities towards outsiders and those we consider as the ‘other’ have risen in the past few years.” The Common Sense Group of more than 50 Tory MPs was angered by a 115-page interim report entitled Connections between Colonialism and Properties now in the Care of the National Trust, Including Links With Historic Slavery, commissioned by the trust and published in September. Co-edited by Fowler, it highlighted that 93 trust properties, including Clandon Park in Surrey and Hare Hill in Cheshire, were linked to wealth from plantations and the slave trade, while others, such as Bateman’s, Rudyard Kipling’s home in Sussex, were important to understanding Britain’s colonial history. Many of the MPs and several rightwing historians and newspaper columnists took exception to the report’s references to Winston Churchill’s role in colonial administration and his opposition to Indian independence. The historian Andrew Roberts accused the trust of “wokery” and of “trying to imply a moral equivalence between colonialism and slavery”. The row was reignited last week when Fowler and several other academics working on another trust project, Colonial Countryside: National Trust Houses Reinterpreted, were accused of holding “biased” views about colonialism. Fowler, a historian at the University of Leicester, and author of a new book, Green Unpleasant Land: Creative Responses to Rural England’s Colonial Connections, said attempts were being made “to misrepresent, mischaracterise, malign and intimidate academics in clear efforts to damage the professional reputations of people for evidence-based scholarship”. She added: “I think we should all be worried when academics are targeted in this way, when the evidence can’t be disputed. Academics working in the humanities have begun to be personally targeted, perhaps in the way that climate scientists have been for some time now.” Colonial Countryside, a project funded by the Arts Council and the National Lottery, is investigating the African, Caribbean and Indian connections of 11 country houses the National Trust manages. Its team of nine historians works with 100 primary school children, who are encouraged to produce essays and fiction to be shared with live, print and digital audiences. The project has been praised by historian David Olusoga and has been described by teachers of the pupils involved as a game-changer. More than 70 schools now teach Colonial Countryside material. But some Tory MPs are uncomfortable with the focus on Britain’s colonial past. Andrew Bridgen told the Times last week that the trust had been “overtaken by divisive Black Lives Matter supporters”. Andrew Murrison was also critical. “The National Trust’s mission is clearly laid out in statute – to be clerk of works to a large wedge of our national treasures,” he said in a parliamentary debate last month. “There is evidence, however, that in recent years the trust – frustrated no doubt with that simple custodial function – has been interpreting its remit more broadly. I submit that requires scrutiny.” Both the culture secretary, Oliver Dowden, and Nigel Huddleston, parliamentary under-secretary for sport, heritage and tourism, have expressed reservations about the trust’s direction. Fowler suggested a “political agenda” was being pursued, part of a wider battle over how the history of colonialism should be studied. “There have been surprising attempts to distort historical research more generally – for example by calling colonialism ‘a political term’, not a historical one. It’s unhelpful to inject such an emotional charge into studies that quite naturally engage with a long period of British colonial rule which inevitably shaped our collective past.” When Colonial Countryside started in 2018, the UK’s Black Lives Matter movement was in its infancy. But since then it has become more vocal and visible. “The reporting around Black Lives Matter has brought the project to wider public attention,” Fowler conceded. “The historical figures we choose to honour is a complicated matter but, more broadly, there is no neutral position on racism. Certainly, it makes sense to understand the history we share with millions of people around the globe, to understand the countryside’s black histories and to research the relationship, say, between rural poverty and the British empire. History explains why we are a multicultural society today.” Colonial Countryside is one of several attempts to understand Britain’s slave trade past. University College London has run a project called Legacies of British Slave-Ownership, and English Heritage performed a similar exercise during the 2007 bicentenary of the abolition of the slave trade. But neither met the opprobrium that has greeted the projects run by the National Trust, which is Britain’s largest membership organisation, with 5.5 million supporters, and is celebrating its 125th anniversary. “The countryside has turned out to be a particularly sensitive topic,” Fowler acknowledged. “There is a perceived attack on Englishness, partly because country houses have in recent decades come to be seen as quintessentially local and British, especially English. Historical evidence presents a very different picture.”</x:v>
      </x:c>
      <x:c r="I47" s="12" t="str"/>
      <x:c r="J47" s="12" t="str"/>
    </x:row>
    <x:row r="48" ht="110" customHeight="1">
      <x:c r="A48" s="12" t="n">
        <x:v>45</x:v>
      </x:c>
      <x:c r="B48" s="12" t="str">
        <x:v>NEWS-guardian_api-e2001566d58a</x:v>
      </x:c>
      <x:c r="C48" s="12" t="str">
        <x:v>David Cameron arrives in Gulf on arms trade trip</x:v>
      </x:c>
      <x:c r="D48" s="12" t="str">
        <x:v>https://www.theguardian.com/politics/2012/nov/05/david-cameron-gulf-arms-trip</x:v>
      </x:c>
      <x:c r="E48" s="12" t="str">
        <x:v>data/raw/news/text/NEWS-guardian_api-e2001566d58a.txt</x:v>
      </x:c>
      <x:c r="F48" s="12" t="str">
        <x:v>data/raw/news/text/NEWS-guardian_api-e2001566d58a.txt</x:v>
      </x:c>
      <x:c r="G48" s="12" t="n">
        <x:v>5736</x:v>
      </x:c>
      <x:c r="H48" s="12" t="str">
        <x:v>David Cameron has arrived in the Gulf at the beginning of a low-key arms trip aimed at persuading regional powers upset by Britain's response to the Arab spring to buy more than 100 Eurofighter Typhoon fighter jets. The deals could be worth more than £6bn to Britain. The prime minister landed in Dubai on a mission to patch up relations with leaders in Saudi Arabia and the United Arab Emirates, where major British businesses such as BP and BAE have important interests. Cameron, who is irritated by claims that he uses his overseas trips to sell defence equipment to countries with questionable human rights records, has made arrangements to minimise the media coverage of the trip. But, speaking in Dubai on Monday, he insisted he would not shy away from raising concerns. "On human rights, there are no no-go areas in this relationship. We discuss all of these things but we also show respect and friendship to a very old ally and partner," he said. He added: "We have one of the strictest regimes anywhere in the world for sales of defence equipment but we do believe that countries have a right to self-defence and we do believe that Britain has important defence industries that employ over 300,000 people so that sort of business is completely legitimate and right." While in the UAE, Cameron will join forces with some of the country's senior political and military figures to inspect Typhoons at al-Minhad airbase, which is used as an air bridge for British forces flying between the UK and Afghanistan. Britain hopes to persuade Gulf leaders to buy 100 Typhoons on top of the 72 bought by Saudi Arabia, where he will arrive on Tuesday. The looming confrontation between Iran and its regional adversaries will also feature heavily in Cameron's talks with leaders in the Sunni-dominated Gulf countries. Britain could base Typhoons, built by a European consortium that includes BAE Systems, in the UAE if relations with Tehran deteriorate. Reflecting these wider concerns in Dubai, Cameron said: "It is not just about trade and investment. We are also partners in defence and security; we worked together in Libya and Afghanistan and we will be talking about all the key regional and global issues." While in the Gulf, the prime minister will be accompanied by only a small pool of two newswire reporters, a broadcast camera person, a broadcast producer and a photographer. Other journalists, making their own travel arrangements, are invited to attend a limited number of events, though it is impossible for those outside the pool to report on any aspect of Cameron's short visit to Jeddah in Saudi Arabia. No 10 is restricting media coverage partly out of sensitivity to Saudi Arabia, which has been upset by Britain's response to the Arab spring. Prince Mohammed Bin Nawaf Al Saud, the ambassador to London, recently broke with diplomatic protocol to say that Saudi Arabia was "insulted" by the decision of the Commons foreign affairs committee to investigate Britain's relations with Saudi Arabia and Bahrain. British ministers have made clear that they have no control over a parliamentary committee. But Daniel Kawczynski, the Tory chair of the all-party parliamentary group on Saudi Arabia, rallied to the kingdom's defence. He said: "There is a huge amount of prejudice in the House of Commons, as there is in the country as a whole, because you only ever hear negative press reports. People have a very distorted view of the kingdom. I would be very put out if the Saudis came to this country and challenged and berated me about all our social ills – whether neglect of the elderly or drug abuse or inner city crime." Downing Street denied that the prime minister was seeking to limit press coverage of the trip. A No 10 spokeswoman said: "This is not a secretive trip in any shape or form. We have the media travelling on the plane with the prime minister – they will have access to the events he is doing in country. "The prime minister will take part in a debate with Emirati students on Monday which will be broadcast in full and is open to the press. There is a complicated programme and there are logistical challenges as a result. But this is striking a balance between getting out there and helping British companies and giving the media access." But No 10 has been trying for two years to restrict media access to the prime minister's overseas visits. This would make him the only leader of a G7 country who is not accompanied abroad by a full press corps. Andy Coulson, the former Downing Street communications director, tried in Cameron's first months in office to recreate the arrangements in opposition when the Tory leader would take just one broadcaster with him on trips. Coulson failed but his successor Craig Oliver, a former BBC editor, is trying to reimpose the restrictions. No 10 aides have complained that the prime minister is often asked questions unrelated to his official programme during overseas trips. There was irritation in No 10 during the prime minister's recent visit to New York and Brazil when journalists persisted in asking questions about the embattled chief whip Andrew Mitchell, who subsequently resigned. Lord Green of Hurstpierpoint, the trade minister, is taking a parallel trade delegation whose members will meet David Cameron in Saudi Arabia and the UAE. The prime minister will attend a trade fair in Abu Dhabi which will be attended by BAE Systems and Rolls-Royce. Cameron wants to persuade the UAE to buy the Typhoons to replace their ageing fleet of French Mirage jets. The Emiratis have expressed interest in ordering 60 of the jets. Oman has expressed interest in 12, while Saudi Arabia is considering placing a second order on top of the 72 it has already bought.</x:v>
      </x:c>
      <x:c r="I48" s="12" t="str"/>
      <x:c r="J48" s="12" t="str"/>
    </x:row>
    <x:row r="49" ht="110" customHeight="1">
      <x:c r="A49" s="12" t="n">
        <x:v>46</x:v>
      </x:c>
      <x:c r="B49" s="12" t="str">
        <x:v>NEWS-guardian_api-e9ed22adbdb1</x:v>
      </x:c>
      <x:c r="C49" s="12" t="str">
        <x:v>A new year brings new battles for democracy and for Labour | Letters </x:v>
      </x:c>
      <x:c r="D49" s="12" t="str">
        <x:v>https://www.theguardian.com/politics/2026/jan/01/a-new-year-brings-new-battles-for-democracy-and-for-labour</x:v>
      </x:c>
      <x:c r="E49" s="12" t="str">
        <x:v>data/raw/news/text/NEWS-guardian_api-e9ed22adbdb1.txt</x:v>
      </x:c>
      <x:c r="F49" s="12" t="str">
        <x:v>data/raw/news/text/NEWS-guardian_api-e9ed22adbdb1.txt</x:v>
      </x:c>
      <x:c r="G49" s="12" t="n">
        <x:v>3440</x:v>
      </x:c>
      <x:c r="H49" s="12" t="str">
        <x:v>“Did 2025 mark the end of British parliamentary democracy as we know it?” asks the headline on Andy Beckett’s article (25 December). Let’s hope not, but the case for moving to a proportional-representation-based system seems clear. The disillusion with Westminster, however, surely stems from the growing gap between House of Commons politics and extra-parliamentary politics in workplaces, communities and the streets. Hundreds of thousands have continued to march on Palestine in 2025. Some nods to this have been made – recognition of a Palestinian state. However, arms sales to Israel continue, as do official relations with Tel Aviv. Meanwhile, hardly a week goes by without the government finding new ways to restrict protest. In 2026, we will need to see a battle to defend democracy from above, but also crucially from below. Keith Flett Tottenham, London • In Andy Beckett’s article, there is no mention of Your Party. There may be a shortage of wise men/women, but the desires and the want that produced its conception won’t disappear. There will be fresh messiahs born in search of a Jerusalem that existing parties can’t deliver, as we sight the mass unemployment/pauperisation that Herod’s AI will bring for the “many”. Jobs in “fulfilment centres”, anyone? Quite rightly, the myths of the centre cannot hold, if the truth be told of our condition. We may even get an Easter rising by my grandchildren. Chris Bratcher Richmond, North Yorkshire • In the bleak midwinter, Andy Beckett paints a downbeat vision, but come the birds in spring again, it could look very different. The future rests in the hands of the parliamentary Labour party: they either change leader and reset, or let the crisis in democracy worsen by leaving Keir Starmer where he is. That would be a failure of historic proportions by the party. Michael Chandler Shoreham-by-Sea, West Sussex • One point Andy Beckett missed in his interesting article is that, as I remember it, when Nigel Farage set up Reform UK, one of its main demands was for a system of proportional representation – about the only sensible policy Reform ever had. The party seems quiet about this now, though. Bill Free St Albans • Larry Elliott says that an economic upturn would not be guaranteed to form a reassessment of voters’ view of Labour, but continues to analyse the chances of economic recovery (Labour is living in a fool’s paradise if it thinks it has plenty of time to turn Britain around, 24 December). There are more profound reasons for the drop in Labour’s popularity since the election, namely the lack of action on Gaza and the punitive approach taken to those protesting on climate and Palestine. This betrayal of trust is likely to be permanent and unaffected by the cost of housing or eggs. Daniel Scharf Abingdon, Oxfordshire • Larry Elliott neatly sets out the descent of Starmer’s government into deep unpopularity. He says this is “almost certainly” attributable to a “combination of factors”, which he goes on to list. But nowhere does he mention the scale of the blizzard of fake online stories reported by you last month (YouTube channels spreading fake, anti-Labour videos viewed 1.2bn times in 2025 13 December). Can anyone doubt that this might be an important factor? Tom Quinn Farnham, Surrey • Have an opinion on anything you’ve read in the Guardian today? Please email us your letter and it will be considered for publication in our letters section.</x:v>
      </x:c>
      <x:c r="I49" s="12" t="str"/>
      <x:c r="J49" s="12" t="str"/>
    </x:row>
    <x:row r="50" ht="110" customHeight="1">
      <x:c r="A50" s="12" t="n">
        <x:v>47</x:v>
      </x:c>
      <x:c r="B50" s="12" t="str">
        <x:v>NEWS-guardian_api-f0e1fbfa261a</x:v>
      </x:c>
      <x:c r="C50" s="12" t="str">
        <x:v>Today in healthcare: Tuesday 22 January</x:v>
      </x:c>
      <x:c r="D50" s="12" t="str">
        <x:v>https://www.theguardian.com/healthcare-network/2013/jan/22/today-in-healthcare-22-january</x:v>
      </x:c>
      <x:c r="E50" s="12" t="str">
        <x:v>data/raw/news/text/NEWS-guardian_api-f0e1fbfa261a.txt</x:v>
      </x:c>
      <x:c r="F50" s="12" t="str">
        <x:v>data/raw/news/text/NEWS-guardian_api-f0e1fbfa261a.txt</x:v>
      </x:c>
      <x:c r="G50" s="12" t="n">
        <x:v>11748</x:v>
      </x:c>
      <x:c r="H50" s="12" t="str">
        <x:v>Jessica Fuhl writes There's an article on the Politico website about Obamacare and cuts today. Paige Winfield Cunningham argues Rublicans never got their chance to chop down President Barack Obama’s health care law, but that doesn’t mean it’s safe from the clippers as congress looks for solutions for tough fiscal times. There's a great interview with Rachel Neaman about her digital leadership role at the Department of Health from David Bicknell at Government Computing on seeing beyond 'technology' and driving cultural change and new ways of working to create a digitally enabled organisation. She explains: The department's role is to be the steward of the new health and care system and therefore what I will be doing will be trying to ensure that the system is following the principles that we are setting across government. It is all about being very collegiate and creating a 'hub and spoke' model for the whole health and care system that says 'This is how we do things.' We are developing our digital health site as a place where digital practitioners in the health and care system can come and share experiences. We want the system to jointly own it and develop it so that it becomes a digital resource centre for all Finally, health secretary Jeremy Hunt's key note address at a recent Policy Exchange event regarding a digitalised NHS is now available online. That's all from us today; we'll be back tomorrow. Have a lovely evening. Jessica Fuhl writes Private health and care market are worth £40bn a year, according to Health Insurance magazine. The report by the healthcare analysts Laing &amp;amp; Buisson examines revenues generated by a wide range of providers delivering services such as elderly care homes, home care and private hospitals, equating to a 28% share of the market. Care homes represents by far the largest single segment of the independent health and care services market with an annual value of £13.4bn. This is followed by private acute medical care at £6.4bn. Clare Horton writes I've just seen this story from the Yorkshire Post, which reports that the future of a trailblazing £3m telehealth initiative in the county is in jeopardy. The YP says GPs in North Yorkshire have been reluctant to take up the state-of-the-art technology, and fewer than 650 devices are being used out of 2,000 purchased by NHS chiefs in 2010. Jim Clark, chairman of North Yorkshire county council’s health scrutiny committee, said there was a “totally disjointed” local and national approach to telehealth. And GP John Crompton, who chairs the North Yorkshire Local Medical Committee, told the Yorkshire Post: GPs have never really been convinced of the benefits of it and it’s never really got off the ground. It has been adopted in pockets around the county but it’s not lived up to the initial hype. There should have been a lot more consultation and consideration of the evidence before the primary care trust committed to it. Jessica Fuhl writes Do two in five hospital patients suffer from dementia? Fullfact.org investigate following the head of the NHS Commissioning Board reiterating the government's commitment to care for elderly patients in the community. Sir David Nicholson observed that hospitals "are very bad places for old, frail people". Emily Craig explains: In a 2005 report, the Royal College of Psychiatrists estimated that a typical district general hospital would - on average - find that 31% of its patients over the age of 65 were suffering from dementia. Including patients experiencing depression or delirium, the prevalence of mental illness proved to be much higher, at around 60%. We do find Sir David's 40% figure in the context of a relatively small-scale study from a London hospital. It looked at more than 600 emergency admissions of those aged over 70 admitted to a London DGH (District General Hospital). In 42% of cases, dementia formed part of the diagnosis. Claire Burke writes The Standard reports that Archbishop Desmond Tutu has described proposals to axe casualty and maternity services at Lewisham hospital as “scandalous” , according to a source. And the Scotsman writes that a series of short-term deals to send NHS patients to private hospitals has been agreed. Jessica Fuhl writes Inside Out London yesterday evening focused on what the upcoming changes to the NHS mean for patients. You can catch up with the programme in full on iplayer online. GP Online have an interesting feature on why Oldham CCG focused on improving its vascular services. We've also found a lovely Day in the life feature online with an NHS manager. Lydia Salice writes: This week I asked David to go through ‘coaching’ with me. I would like to be able to give feedback to colleagues in a conversation where they feel supported and gain an insight into how they would like to improve their performance in the future. It is very tempting to either ignore the situation, or just say “this is what you did wrong, don’t do it next time”. Actually, this is how the GROW method of coaching came about. A tennis instructor realised that he could tell the tennis players what they were doing incorrectly, but this did not bring about lasting change, as people only follow instructions for so long (or not at all!). The tennis coach decided to start asking the players questions so the players could discover for themselves what was going wrong. In my mentoring sessions, we used examples of conversations at work and used role play to go through some of the open questions I could use in the future. Clare Horton writes Here's a quick run through some of the healthcare stories from around the web this lunchtime: • Guardian: Police warn of contaminated ecstasy tablets after three deaths • Telegraph: Doctor and nurse shortages on wards 'behind thousands of deaths a year' • BBC: Meningitis jab gets Europe licence • eHealth Insider: Scotland gets GP info service • HSJ: Council-led public health group has role extended • Nursing Times: HCAs could be policed with 'blacklist' Jessica Fuhl writes MiniMatt has drawn our attention to recent findings that the number of people taking their own life in the UK rose "significantly" in 2011, according to figures from the Office for National Statistics. Clive Coleman, BBC News legal correspondent, has commented on the statistics, explaining: In September 2012 the Department of Health launched "Preventing Suicide in England: a cross-government outcomes strategy to save lives." It aims to reduce the suicide rate and improve support for those affected by suicide. The new strategy outlines six areas for action, including a plan to reduce the risk of suicide in key high-risk groups, reducing access to the means of suicide, and supporting research, data collection and monitoring. Thanks to MiniMatt for pointing out; if there's an issue that readers think we could be covering, then please do get in touch by commenting below. Jessica Fuhl writes The health select committee is this morning holding a hearing on nursing and related issues. Witnesses include: Caroline Abrahams, director of external affairs, Age UK Michael Watson, director of information and advice, the Patients Association Joanna Parker, south west project manager, the Patients Association Jane Cummings, chief nursing officer for England, NHS Commissioning Board Viv Bennett, Department of Health, and lead nurse, Public Health England You can follow online on Parliament TV. Jessica Fuhl writes Following the Patient from Hell's piece on the network yesterday about A&amp;amp;E waiting times, we had some interesting thoughts from readers on Twitter about the provision of care and A&amp;amp;E services. Here's a roundup of what some of you were saying. Claire Burke writes Rowenna Davis warns that cutting services at Lewisham hospital would be rewarding failure and punishing success, in a piece for the New Statesman. Davis, a journalist and Labour councillor, writes: Doctors are also terrified that the consequences of shutting services in a poor, densely populated inner city area with a booming population and a high birth rate have not been thought through. Campaigners say that the changes will leave the local population of 750,000 with just one A&amp;amp;E department. She continues: Doctors told me that the local Queen Elizabeth hospital was already transferring children out as far as Margate to cope with over demand, and that St Thomas’ was also asking about outpatient beds outside of London. Mums trying to book Kings hospital for births are already being told there is no space. One GP talked about an appendix rupturing in A&amp;amp;E because they couldn’t be seen in time. These stories came from different local hospitals, but everyone felt their position was too precarious to go on the record. Jessica Fuhl writes Assurances have been given that Epsom Hospital will not close under an NHS review covering Surrey and south west London, Epsom council has said. The BBC also reports that prawn farming in Senegal may hold the key to eradicating a common and deadly parasitic disease. Researchers believe if the shell fish are reintroduced into the West African nation's rivers, they will eat the snails that host the parasite that causes schistosomiasis. Elsewhere, the Telegraph reports that shortages of doctors and nurses on hospital wards are likely to be responsible for thousands of deaths a year, a new study has suggested. The study from the University of Southampton and Imperial College London looked at almost 70 million records of patients who had surgery between 1997 and 2009. And the Department of Health has announced that leading soft drinks brands Lucozade, Ribena and J20 are among the latest brands to sign up to the responsibility deal’s calorie reduction pledge as part of the government’s drive to curb obesity levels. Jessica Fuhl writes On the network today, Chair of Lewisham clinical commissioning group Dr Helen Tattersfield argues that the potential closure of A&amp;amp;E and maternity services at Lewisham hospital sets a worrying precedent for the NHS. The move is not backed by local commissioners and makes no financial sense, she argues. As the clinical commissioning group (CCG) chair for Lewisham, I sat on the TSA's clinical advisory group. The group was barred from considering existing quality as it was assumed any new organisation would automatically meet quality standards. The only arguments permitted were financial. We were told that five A&amp;amp;Es in south-east London were not affordable, so the number must be reduced to four in future. We were not allowed to question this assumption, and Lewisham – without protected foundation trust status, not linked to long-term PFI debts, and with releasable assets – was the TSA's obvious target. This was justified by the TSA's claim that future finances for Lewisham were precarious. Clare Horton writes Good morning and welcome to the Guardian healthcare network's daily live blog, bringing you news, comment and analysis from around the web. Pulse reports this morning that the GPC has urged the UK government to stop ‘discriminating’ against GPs in England and give them similar arrangements to those in Scotland or risk overloading practices. Experts believe people who work with cleaning products risk developing asthma, according to the BBC. Researchers are warning that regular use of aspirin can almost triple the chance of developing a condition that causes more older people in Britain to lose their sight than any other, reports the Telegraph. If there's a story, report or event you'd like to highlight – or you would like to share your thoughts on any of the healthcare issues in the news today – you can get in touch by leaving a comment below the line or tweeting us at @GdnHealthcare.</x:v>
      </x:c>
      <x:c r="I50" s="12" t="str"/>
      <x:c r="J50" s="12" t="str"/>
    </x:row>
    <x:row r="51" ht="110" customHeight="1">
      <x:c r="A51" s="12" t="n">
        <x:v>48</x:v>
      </x:c>
      <x:c r="B51" s="12" t="str">
        <x:v>NEWS-guardian_api-ffae95f17052</x:v>
      </x:c>
      <x:c r="C51" s="12" t="str">
        <x:v>‘An abomination’: the Lancashire town kicking up a stink over reopened landfill</x:v>
      </x:c>
      <x:c r="D51" s="12" t="str">
        <x:v>https://www.theguardian.com/uk-news/2026/apr/10/lancashire-fleetwood-stench-landfill-transwaste</x:v>
      </x:c>
      <x:c r="E51" s="12" t="str">
        <x:v>data/raw/news/text/NEWS-guardian_api-ffae95f17052.txt</x:v>
      </x:c>
      <x:c r="F51" s="12" t="str">
        <x:v>data/raw/news/text/NEWS-guardian_api-ffae95f17052.txt</x:v>
      </x:c>
      <x:c r="G51" s="12" t="n">
        <x:v>6010</x:v>
      </x:c>
      <x:c r="H51" s="12" t="str">
        <x:v>In the week that many families went to the coast for the fresh sea air or the tang of fish and chips, visitors to one Lancashire resort inhaled a rather more unpleasant aroma. “Welcome to Fleetwood,” read the local newspaper headline. “The town that smells of bin juice.” For more than two years, the former fishing port has been choked by a putrid pong from a reopened landfill site that has prompted more than 20,000 complaints to the Environment Agency. Despite promises to tackle the smell, which residents have compared with rotten eggs and animal excrement, many say it is worse than ever. Nearly 6,000 complaints have been logged by the EA in the last six weeks alone. Dave McPartlin, the headteacher of nearby Flakefleet primary school, said it was now so bad children were refusing to play outside. “It’s disgusting and it’s particularly bad when the weather tends to be nice, so just as people want to get fresh air you get this really offensive, intrusive smell that just lingers,” he said. The foul stench is hydrogen sulphide, a toxic gas that was released when Transwaste, a recycling firm, reopened the decades-old Jameson Road landfill in late 2023 after it had been closed for five years. Residents said the smell has caused retching, vomiting, nose bleeds, headaches, itchy eyes and a worsening of breathing conditions. Even at night, the smell lingers because the temperature drop means the gas stays closer to the ground than it does during the day. “People are getting gassed in their beds – that’s how they’re describing it,” said Donna Davidson, a retired teacher who lives in Thornton-Cleveleys, a village nearly 3 miles from the landfill, and has experienced the wind blowing the smell into her home and beyond to the edge of Blackpool. Holidaymakers at the caravan sites next to the landfill have complained online about the “absolutely vile” smell making them sick. One family who had booked an autism-friendly caravan described their “hell” after their child with extreme sensory needs was “so nauseous at the smell they couldn’t even leave their room”. Allison Rowe, 65, who moved to Fleetwood during the Covid pandemic, remembers the first time the stench clung to her throat. “It was February 2024,” she said. “I came out one morning and all of a sudden it was: ‘What’s that bloody stink?’ “Sometimes I come back from somewhere in the car and I’ll vomit my guts out, straight out of the car.” Rowe said she was diagnosed with two lung conditions six months ago – asthma and slight chronic obstructive pulmonary disease (COPD) – and believed they were linked to the landfill. “It’s an abomination,” she said. “Nobody knows what the long-term consequences will be for the people who are now pregnant or have other health issues. The authorities need to protect the people.” An Imperial College London study in 2020 found a small increase in congenital abnormalities in those living close to municipal waste sites, but there has been little detailed research on the issue. Fleetwood has some of the most deprived neighbourhoods in England, with higher levels of asthma and nearly double the national average rate of COPD, conditions the UK Health Security Agency says are made worse by breathing in noxious air. In the almost two years to January, the EA recorded 74 compliance breaches at the Transwaste site, a third of which were classed as “significant”. The Hull-based firm, run by brothers Paul and Mark Hornshaw, began installing a permanent barrier on the landfill this month to address the stench, claiming it applied to the EA to carry out the work in December but was only given the go-ahead last week. Many residents said they felt let down by the relevant public agencies, including the EA, two local authorities and the NHS. “They are treating us with contempt,” said Dr Barbara Kneale, a trained GP and consultant in occupational medicine who lives a mile from the landfill. Together with Davidson, she is gathering evidence to try to get the site closed permanently. This includes detailed hydrogen sulphide readings from people’s homes and keeping track of the trucks piling rubbish into Fleetwood, which have been traced to Dover, Dunfermline, Hull and beyond. Last month, a group of more than 100 local people staged a slow march to the landfill in protest, some aided by walking frames, others wearing face masks. “Nobody’s taking it seriously. They just think we should put up with it,” said Kneale, 61. “I think they had a real shock that people of Fleetwood have stood up.” Lorraine Beavers, the town’s MP, used parliamentary privilege last month to describe Transwaste as “crooks” who were being allowed to “evade accountability for their crimes”. She told the Guardian: “The smell is worse than ever and is destroying lives and livelihoods [and] I will not rest until the site is shut down.” Transwaste said it strongly rejected Beavers’ “entirely unfounded” allegations and that it complied with all laws and committed itself to the highest standards. It said many of the odour issues were a result of bringing the site back into operation. Wyre borough council, the site’s landlord, said it could only take legal action if residents recorded detailed diaries and allowed council officers to witness the smell inside their homes. “There’s been 20,000 complaints to the Environment Agency – is that not enough?” said McPartlin, adding that he felt Fleetwood had been forgotten. “If this was some wealthy Surrey commuter belt this would never be allowed to continue.” An EA spokesperson said: “The community should not have to tolerate odours that affect their environment. We have pushed the operator to cover areas of the site where waste has recently been deposited to reduce odour and are pressing them to install permanent capping as soon as possible to prevent future emissions. “Environment Agency officers are on the ground actively monitoring the situation, and if we don’t see improvements, we will not hesitate to take further enforcement action.”</x:v>
      </x:c>
      <x:c r="I51" s="12" t="str"/>
      <x:c r="J51" s="12" t="str"/>
    </x:row>
  </x:sheetData>
  <x:mergeCells>
    <x:mergeCell ref="A1:J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4" max="4" width="30" hidden="0" customWidth="1"/>
    <x:col min="5" max="5" width="20" hidden="0" customWidth="1"/>
    <x:col min="6" max="6" width="20" hidden="0" customWidth="1"/>
    <x:col min="7" max="7" width="28" hidden="0" customWidth="1"/>
  </x:cols>
  <x:sheetData>
    <x:row r="1">
      <x:c r="A1" s="19" t="str">
        <x:v>E5 Development Diagnosis Summary</x:v>
      </x:c>
      <x:c r="B1" s="19"/>
      <x:c r="C1" s="19"/>
      <x:c r="D1" s="19"/>
      <x:c r="E1" s="19"/>
      <x:c r="F1" s="19"/>
    </x:row>
    <x:row r="3">
      <x:c r="A3" s="52" t="str">
        <x:v>Measure</x:v>
      </x:c>
      <x:c r="B3" s="53" t="str">
        <x:v>Count</x:v>
      </x:c>
      <x:c r="D3" s="22" t="str">
        <x:v>Interpretation boundary</x:v>
      </x:c>
      <x:c r="E3" s="22"/>
      <x:c r="F3" s="22"/>
    </x:row>
    <x:row r="4">
      <x:c r="A4" s="54" t="str">
        <x:v>Total hard disagreements</x:v>
      </x:c>
      <x:c r="B4" s="56" t="n">
        <x:f>COUNTA('Review'!$C$6:$C$53)</x:f>
        <x:v>48</x:v>
      </x:c>
      <x:c r="D4" s="59" t="str">
        <x:v>This sheet summarises a development-set error diagnosis. It does not estimate out-of-sample classifier performance and does not change the v1 kappa results. Complete the Review sheet before interpreting mechanism or action counts.</x:v>
      </x:c>
      <x:c r="E4" s="59"/>
      <x:c r="F4" s="59"/>
    </x:row>
    <x:row r="5">
      <x:c r="A5" s="54" t="str">
        <x:v>Review complete</x:v>
      </x:c>
      <x:c r="B5" s="56" t="n">
        <x:f>COUNTIF('Review'!$B$6:$B$53,"complete")</x:f>
        <x:v>45</x:v>
      </x:c>
      <x:c r="D5" s="59"/>
      <x:c r="E5" s="59"/>
      <x:c r="F5" s="59"/>
    </x:row>
    <x:row r="6">
      <x:c r="A6" s="54" t="str">
        <x:v>Needs adjudication</x:v>
      </x:c>
      <x:c r="B6" s="56" t="n">
        <x:f>COUNTIF('Review'!$B$6:$B$53,"needs_adjudication")</x:f>
        <x:v>3</x:v>
      </x:c>
      <x:c r="D6" s="59"/>
      <x:c r="E6" s="59"/>
      <x:c r="F6" s="59"/>
    </x:row>
    <x:row r="7">
      <x:c r="A7" s="54" t="str">
        <x:v>Local arm</x:v>
      </x:c>
      <x:c r="B7" s="56" t="n">
        <x:f>COUNTIF('Review'!$E$6:$E$53,"local")</x:f>
        <x:v>28</x:v>
      </x:c>
      <x:c r="D7" s="59"/>
      <x:c r="E7" s="59"/>
      <x:c r="F7" s="59"/>
    </x:row>
    <x:row r="8">
      <x:c r="A8" s="54" t="str">
        <x:v>National arm</x:v>
      </x:c>
      <x:c r="B8" s="56" t="n">
        <x:f>COUNTIF('Review'!$E$6:$E$53,"national")</x:f>
        <x:v>20</x:v>
      </x:c>
      <x:c r="D8" s="59"/>
      <x:c r="E8" s="59"/>
      <x:c r="F8" s="59"/>
    </x:row>
    <x:row r="9">
      <x:c r="A9" s="54" t="str">
        <x:v>Human include / LLM exclude</x:v>
      </x:c>
      <x:c r="B9" s="56" t="n">
        <x:f>COUNTIF('Review'!$T$6:$T$53,"human_include__llm_exclude")</x:f>
        <x:v>28</x:v>
      </x:c>
    </x:row>
    <x:row r="10">
      <x:c r="A10" s="54" t="str">
        <x:v>Human exclude / LLM include</x:v>
      </x:c>
      <x:c r="B10" s="56" t="n">
        <x:f>COUNTIF('Review'!$T$6:$T$53,"human_exclude__llm_include")</x:f>
        <x:v>20</x:v>
      </x:c>
    </x:row>
    <x:row r="11">
      <x:c r="A11" s="54" t="str">
        <x:v>LLM evidence missing</x:v>
      </x:c>
      <x:c r="B11" s="56" t="n">
        <x:f>COUNTIF('Review'!$S$6:$S$53,"yes")</x:f>
        <x:v>17</x:v>
      </x:c>
    </x:row>
    <x:row r="12">
      <x:c r="A12" s="54" t="str">
        <x:v>Possible human-label review</x:v>
      </x:c>
      <x:c r="B12" s="56" t="n">
        <x:f>COUNTIF('Review'!$AA$6:$AA$53,"yes")</x:f>
        <x:v>12</x:v>
      </x:c>
    </x:row>
    <x:row r="13">
      <x:c r="A13" s="55" t="str">
        <x:v>Few-shot candidates</x:v>
      </x:c>
      <x:c r="B13" s="57" t="n">
        <x:f>COUNTIF('Review'!$AC$6:$AC$53,"yes")</x:f>
        <x:v>7</x:v>
      </x:c>
    </x:row>
    <x:row r="15">
      <x:c r="A15" s="128" t="str">
        <x:v>Draft reassessment</x:v>
      </x:c>
      <x:c r="B15" s="128" t="str">
        <x:v>Count</x:v>
      </x:c>
      <x:c r="D15" s="128" t="str">
        <x:v>Primary mechanism</x:v>
      </x:c>
      <x:c r="E15" s="128" t="str">
        <x:v>Count</x:v>
      </x:c>
      <x:c r="G15" s="128" t="str">
        <x:v>Recommended action</x:v>
      </x:c>
      <x:c r="H15" s="128" t="str">
        <x:v>Count</x:v>
      </x:c>
    </x:row>
    <x:row r="16">
      <x:c r="A16" s="129" t="str">
        <x:v>include</x:v>
      </x:c>
      <x:c r="B16" s="130" t="n">
        <x:f>COUNTIF('Review'!$W$6:$W$53,A16)</x:f>
        <x:v>19</x:v>
      </x:c>
      <x:c r="D16" s="129" t="str">
        <x:v>missed_qualifying_evidence</x:v>
      </x:c>
      <x:c r="E16" s="130" t="n">
        <x:f>COUNTIF('Review'!$Z$6:$Z$53,D16)</x:f>
        <x:v>19</x:v>
      </x:c>
      <x:c r="G16" s="129" t="str">
        <x:v>prompt_clarification</x:v>
      </x:c>
      <x:c r="H16" s="130" t="n">
        <x:f>COUNTIF('Review'!$AB$6:$AB$53,G16)</x:f>
        <x:v>20</x:v>
      </x:c>
    </x:row>
    <x:row r="17">
      <x:c r="A17" s="129" t="str">
        <x:v>exclude</x:v>
      </x:c>
      <x:c r="B17" s="130" t="n">
        <x:f>COUNTIF('Review'!$W$6:$W$53,A17)</x:f>
        <x:v>26</x:v>
      </x:c>
      <x:c r="D17" s="129" t="str">
        <x:v>wrong_arm_rule</x:v>
      </x:c>
      <x:c r="E17" s="130" t="n">
        <x:f>COUNTIF('Review'!$Z$6:$Z$53,D17)</x:f>
        <x:v>10</x:v>
      </x:c>
      <x:c r="G17" s="129" t="str">
        <x:v>decision_tree_change</x:v>
      </x:c>
      <x:c r="H17" s="130" t="n">
        <x:f>COUNTIF('Review'!$AB$6:$AB$53,G17)</x:f>
        <x:v>10</x:v>
      </x:c>
    </x:row>
    <x:row r="18">
      <x:c r="A18" s="129" t="str">
        <x:v>needs_second_review</x:v>
      </x:c>
      <x:c r="B18" s="130" t="n">
        <x:f>COUNTIF('Review'!$W$6:$W$53,A18)</x:f>
        <x:v>3</x:v>
      </x:c>
      <x:c r="D18" s="129" t="str">
        <x:v>local_effect_not_established</x:v>
      </x:c>
      <x:c r="E18" s="130" t="n">
        <x:f>COUNTIF('Review'!$Z$6:$Z$53,D18)</x:f>
        <x:v>6</x:v>
      </x:c>
      <x:c r="G18" s="129" t="str">
        <x:v>few_shot_example</x:v>
      </x:c>
      <x:c r="H18" s="130" t="n">
        <x:f>COUNTIF('Review'!$AB$6:$AB$53,G18)</x:f>
        <x:v>5</x:v>
      </x:c>
    </x:row>
    <x:row r="19">
      <x:c r="D19" s="129" t="str">
        <x:v>incidental_place_overread</x:v>
      </x:c>
      <x:c r="E19" s="130" t="n">
        <x:f>COUNTIF('Review'!$Z$6:$Z$53,D19)</x:f>
        <x:v>6</x:v>
      </x:c>
      <x:c r="G19" s="129" t="str">
        <x:v>human_label_adjudication</x:v>
      </x:c>
      <x:c r="H19" s="130" t="n">
        <x:f>COUNTIF('Review'!$AB$6:$AB$53,G19)</x:f>
        <x:v>5</x:v>
      </x:c>
    </x:row>
    <x:row r="20">
      <x:c r="D20" s="129" t="str">
        <x:v>codebook_boundary_unclear</x:v>
      </x:c>
      <x:c r="E20" s="130" t="n">
        <x:f>COUNTIF('Review'!$Z$6:$Z$53,D20)</x:f>
        <x:v>2</x:v>
      </x:c>
      <x:c r="G20" s="129" t="str">
        <x:v>input_fix</x:v>
      </x:c>
      <x:c r="H20" s="130" t="n">
        <x:f>COUNTIF('Review'!$AB$6:$AB$53,G20)</x:f>
        <x:v>4</x:v>
      </x:c>
    </x:row>
    <x:row r="21">
      <x:c r="D21" s="129" t="str">
        <x:v>national_policy_scope_too_broad</x:v>
      </x:c>
      <x:c r="E21" s="130" t="n">
        <x:f>COUNTIF('Review'!$Z$6:$Z$53,D21)</x:f>
        <x:v>2</x:v>
      </x:c>
      <x:c r="G21" s="129" t="str">
        <x:v>codebook_review</x:v>
      </x:c>
      <x:c r="H21" s="130" t="n">
        <x:f>COUNTIF('Review'!$AB$6:$AB$53,G21)</x:f>
        <x:v>3</x:v>
      </x:c>
    </x:row>
    <x:row r="22">
      <x:c r="D22" s="129" t="str">
        <x:v>surrey_wide_rule_misapplied</x:v>
      </x:c>
      <x:c r="E22" s="130" t="n">
        <x:f>COUNTIF('Review'!$Z$6:$Z$53,D22)</x:f>
        <x:v>2</x:v>
      </x:c>
      <x:c r="G22" s="129" t="str">
        <x:v>multiple</x:v>
      </x:c>
      <x:c r="H22" s="130" t="n">
        <x:f>COUNTIF('Review'!$AB$6:$AB$53,G22)</x:f>
        <x:v>1</x:v>
      </x:c>
    </x:row>
    <x:row r="23">
      <x:c r="D23" s="129" t="str">
        <x:v>entity_or_namesake_confusion</x:v>
      </x:c>
      <x:c r="E23" s="130" t="n">
        <x:f>COUNTIF('Review'!$Z$6:$Z$53,D23)</x:f>
        <x:v>1</x:v>
      </x:c>
    </x:row>
  </x:sheetData>
  <x:mergeCells>
    <x:mergeCell ref="A1:F1"/>
    <x:mergeCell ref="D3:F3"/>
    <x:mergeCell ref="D4:F8"/>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3" max="3" width="30" hidden="0" customWidth="1"/>
    <x:col min="4" max="4" width="30" hidden="0" customWidth="1"/>
    <x:col min="5" max="5" width="30" hidden="0" customWidth="1"/>
    <x:col min="6" max="6" width="30" hidden="0" customWidth="1"/>
    <x:col min="7" max="7" width="30" hidden="0" customWidth="1"/>
    <x:col min="8" max="8" width="30" hidden="0" customWidth="1"/>
  </x:cols>
  <x:sheetData>
    <x:row r="1">
      <x:c r="A1" s="23" t="str">
        <x:v>review_status</x:v>
      </x:c>
      <x:c r="B1" s="23" t="str">
        <x:v>independent_reassessment</x:v>
      </x:c>
      <x:c r="C1" s="23" t="str">
        <x:v>rule_at_issue</x:v>
      </x:c>
      <x:c r="D1" s="23" t="str">
        <x:v>input_issue</x:v>
      </x:c>
      <x:c r="E1" s="23" t="str">
        <x:v>error_mechanism</x:v>
      </x:c>
      <x:c r="F1" s="23" t="str">
        <x:v>human_label_review</x:v>
      </x:c>
      <x:c r="G1" s="23" t="str">
        <x:v>recommended_action</x:v>
      </x:c>
      <x:c r="H1" s="23" t="str">
        <x:v>few_shot_candidate</x:v>
      </x:c>
    </x:row>
    <x:row r="2">
      <x:c r="A2" t="str">
        <x:v>not_started</x:v>
      </x:c>
      <x:c r="B2" t="str">
        <x:v>include</x:v>
      </x:c>
      <x:c r="C2" t="str">
        <x:v>L1</x:v>
      </x:c>
      <x:c r="D2" t="str">
        <x:v>none</x:v>
      </x:c>
      <x:c r="E2" t="str">
        <x:v>missed_qualifying_evidence</x:v>
      </x:c>
      <x:c r="F2" t="str">
        <x:v>no</x:v>
      </x:c>
      <x:c r="G2" t="str">
        <x:v>no_change</x:v>
      </x:c>
      <x:c r="H2" t="str">
        <x:v>no</x:v>
      </x:c>
    </x:row>
    <x:row r="3">
      <x:c r="A3" t="str">
        <x:v>in_progress</x:v>
      </x:c>
      <x:c r="B3" t="str">
        <x:v>exclude</x:v>
      </x:c>
      <x:c r="C3" t="str">
        <x:v>L2</x:v>
      </x:c>
      <x:c r="D3" t="str">
        <x:v>evidence_beyond_excerpt</x:v>
      </x:c>
      <x:c r="E3" t="str">
        <x:v>incidental_place_overread</x:v>
      </x:c>
      <x:c r="F3" t="str">
        <x:v>yes</x:v>
      </x:c>
      <x:c r="G3" t="str">
        <x:v>input_fix</x:v>
      </x:c>
      <x:c r="H3" t="str">
        <x:v>yes</x:v>
      </x:c>
    </x:row>
    <x:row r="4">
      <x:c r="A4" t="str">
        <x:v>complete</x:v>
      </x:c>
      <x:c r="B4" t="str">
        <x:v>needs_second_review</x:v>
      </x:c>
      <x:c r="C4" t="str">
        <x:v>L3</x:v>
      </x:c>
      <x:c r="D4" t="str">
        <x:v>missing_query_context</x:v>
      </x:c>
      <x:c r="E4" t="str">
        <x:v>local_effect_not_established</x:v>
      </x:c>
      <x:c r="G4" t="str">
        <x:v>prompt_clarification</x:v>
      </x:c>
    </x:row>
    <x:row r="5">
      <x:c r="A5" t="str">
        <x:v>needs_adjudication</x:v>
      </x:c>
      <x:c r="B5" t="str">
        <x:v>insufficient_evidence</x:v>
      </x:c>
      <x:c r="C5" t="str">
        <x:v>L4</x:v>
      </x:c>
      <x:c r="D5" t="str">
        <x:v>incomplete_or_unreadable_text</x:v>
      </x:c>
      <x:c r="E5" t="str">
        <x:v>surrey_wide_rule_misapplied</x:v>
      </x:c>
      <x:c r="G5" t="str">
        <x:v>decision_tree_change</x:v>
      </x:c>
    </x:row>
    <x:row r="6">
      <x:c r="C6" t="str">
        <x:v>N1</x:v>
      </x:c>
      <x:c r="D6" t="str">
        <x:v>other</x:v>
      </x:c>
      <x:c r="E6" t="str">
        <x:v>national_party_scope_too_broad</x:v>
      </x:c>
      <x:c r="G6" t="str">
        <x:v>few_shot_example</x:v>
      </x:c>
    </x:row>
    <x:row r="7">
      <x:c r="C7" t="str">
        <x:v>N2</x:v>
      </x:c>
      <x:c r="E7" t="str">
        <x:v>national_policy_scope_too_broad</x:v>
      </x:c>
      <x:c r="G7" t="str">
        <x:v>codebook_review</x:v>
      </x:c>
    </x:row>
    <x:row r="8">
      <x:c r="C8" t="str">
        <x:v>N3</x:v>
      </x:c>
      <x:c r="E8" t="str">
        <x:v>wrong_arm_rule</x:v>
      </x:c>
      <x:c r="G8" t="str">
        <x:v>human_label_adjudication</x:v>
      </x:c>
    </x:row>
    <x:row r="9">
      <x:c r="C9" t="str">
        <x:v>exclusion_boundary</x:v>
      </x:c>
      <x:c r="E9" t="str">
        <x:v>entity_or_namesake_confusion</x:v>
      </x:c>
      <x:c r="G9" t="str">
        <x:v>multiple</x:v>
      </x:c>
    </x:row>
    <x:row r="10">
      <x:c r="C10" t="str">
        <x:v>multiple</x:v>
      </x:c>
      <x:c r="E10" t="str">
        <x:v>codebook_boundary_unclear</x:v>
      </x:c>
    </x:row>
    <x:row r="11">
      <x:c r="C11" t="str">
        <x:v>unclear</x:v>
      </x:c>
      <x:c r="E11" t="str">
        <x:v>possible_human_coding_error</x:v>
      </x:c>
    </x:row>
    <x:row r="12">
      <x:c r="E12" t="str">
        <x:v>genuinely_ambiguous</x:v>
      </x:c>
    </x:row>
    <x:row r="13">
      <x:c r="E13" t="str">
        <x:v>other</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16" hidden="0" customWidth="1"/>
    <x:col min="3" max="3" width="31" hidden="0" customWidth="1"/>
    <x:col min="4" max="4" width="16" hidden="0" customWidth="1"/>
    <x:col min="5" max="5" width="16" hidden="0" customWidth="1"/>
    <x:col min="6" max="6" width="16" hidden="0" customWidth="1"/>
    <x:col min="7" max="7" width="42" hidden="0" customWidth="1"/>
    <x:col min="8" max="8" width="20" hidden="0" customWidth="1"/>
    <x:col min="9" max="9" width="20" hidden="0" customWidth="1"/>
    <x:col min="10" max="10" width="20" hidden="0" customWidth="1"/>
    <x:col min="11" max="11" width="20" hidden="0" customWidth="1"/>
    <x:col min="12" max="12" width="20" hidden="0" customWidth="1"/>
    <x:col min="13" max="13" width="22" hidden="0" customWidth="1"/>
    <x:col min="14" max="14" width="22" hidden="0" customWidth="1"/>
    <x:col min="15" max="15" width="48" hidden="0" customWidth="1"/>
    <x:col min="16" max="16" width="48" hidden="0" customWidth="1"/>
    <x:col min="17" max="17" width="22" hidden="0" customWidth="1"/>
    <x:col min="18" max="18" width="22" hidden="0" customWidth="1"/>
    <x:col min="19" max="19" width="22" hidden="0" customWidth="1"/>
  </x:cols>
  <x:sheetData>
    <x:row r="1">
      <x:c r="A1" s="61" t="str">
        <x:v>Independent E5 reassessment — complete before viewing Review</x:v>
      </x:c>
      <x:c r="B1" s="61"/>
      <x:c r="C1" s="61"/>
      <x:c r="D1" s="61"/>
      <x:c r="E1" s="61"/>
      <x:c r="F1" s="61"/>
      <x:c r="G1" s="61"/>
      <x:c r="H1" s="61"/>
      <x:c r="I1" s="61"/>
      <x:c r="J1" s="61"/>
      <x:c r="K1" s="61"/>
      <x:c r="L1" s="61"/>
      <x:c r="M1" s="61"/>
      <x:c r="N1" s="61"/>
      <x:c r="O1" s="61"/>
      <x:c r="P1" s="61"/>
      <x:c r="Q1" s="61"/>
      <x:c r="R1" s="61"/>
      <x:c r="S1" s="61"/>
    </x:row>
    <x:row r="2">
      <x:c r="A2" s="63" t="str">
        <x:v>Read the article in Article Text, apply only the arm-appropriate E5 rule, and record the shortest exact supporting passage. This page intentionally hides the original human and LLM answers.</x:v>
      </x:c>
      <x:c r="B2" s="63"/>
      <x:c r="C2" s="63"/>
      <x:c r="D2" s="63"/>
      <x:c r="E2" s="63"/>
      <x:c r="F2" s="63"/>
      <x:c r="G2" s="63"/>
      <x:c r="H2" s="63"/>
      <x:c r="I2" s="63"/>
      <x:c r="J2" s="63"/>
      <x:c r="K2" s="63"/>
      <x:c r="L2" s="63"/>
      <x:c r="M2" s="63"/>
      <x:c r="N2" s="63"/>
      <x:c r="O2" s="63"/>
      <x:c r="P2" s="63"/>
      <x:c r="Q2" s="63"/>
      <x:c r="R2" s="63"/>
      <x:c r="S2" s="63"/>
    </x:row>
    <x:row r="3" ht="42" customHeight="1">
      <x:c r="A3" s="69" t="str">
        <x:v>review_index</x:v>
      </x:c>
      <x:c r="B3" s="70" t="str">
        <x:v>review_status</x:v>
      </x:c>
      <x:c r="C3" s="70" t="str">
        <x:v>article_id</x:v>
      </x:c>
      <x:c r="D3" s="70" t="str">
        <x:v>election_id</x:v>
      </x:c>
      <x:c r="E3" s="70" t="str">
        <x:v>arm</x:v>
      </x:c>
      <x:c r="F3" s="70" t="str">
        <x:v>source_id</x:v>
      </x:c>
      <x:c r="G3" s="70" t="str">
        <x:v>headline</x:v>
      </x:c>
      <x:c r="H3" s="70" t="str">
        <x:v>published_date</x:v>
      </x:c>
      <x:c r="I3" s="70" t="str">
        <x:v>ward</x:v>
      </x:c>
      <x:c r="J3" s="70" t="str">
        <x:v>query_text</x:v>
      </x:c>
      <x:c r="K3" s="70" t="str">
        <x:v>query_context_missing</x:v>
      </x:c>
      <x:c r="L3" s="70" t="str">
        <x:v>ward_context_missing</x:v>
      </x:c>
      <x:c r="M3" s="70" t="str">
        <x:v>independent_reassessment</x:v>
      </x:c>
      <x:c r="N3" s="70" t="str">
        <x:v>rule_applied</x:v>
      </x:c>
      <x:c r="O3" s="70" t="str">
        <x:v>review_evidence</x:v>
      </x:c>
      <x:c r="P3" s="70" t="str">
        <x:v>independent_notes</x:v>
      </x:c>
      <x:c r="Q3" s="70" t="str">
        <x:v>reviewer_id</x:v>
      </x:c>
      <x:c r="R3" s="70" t="str">
        <x:v>reviewed_at</x:v>
      </x:c>
      <x:c r="S3" s="71" t="str">
        <x:v>qc_flag</x:v>
      </x:c>
    </x:row>
    <x:row r="4" ht="70" customHeight="1">
      <x:c r="A4" s="80" t="n">
        <x:v>1</x:v>
      </x:c>
      <x:c r="B4" s="81" t="str">
        <x:v>needs_adjudication</x:v>
      </x:c>
      <x:c r="C4" s="81" t="str">
        <x:v>NEWS-bbc_surrey-26a6658188d3</x:v>
      </x:c>
      <x:c r="D4" s="81" t="str">
        <x:v>SCC-2017-05</x:v>
      </x:c>
      <x:c r="E4" s="81" t="str">
        <x:v>local</x:v>
      </x:c>
      <x:c r="F4" s="81" t="str">
        <x:v>bbc_surrey</x:v>
      </x:c>
      <x:c r="G4" s="88" t="str">
        <x:v>Meningitis kills Surrey University student</x:v>
      </x:c>
      <x:c r="H4" s="81" t="str">
        <x:v>2017-04-28</x:v>
      </x:c>
      <x:c r="I4" s="81" t="str"/>
      <x:c r="J4" s="88" t="str"/>
      <x:c r="K4" s="81" t="str">
        <x:v>yes</x:v>
      </x:c>
      <x:c r="L4" s="81" t="str">
        <x:v>yes</x:v>
      </x:c>
      <x:c r="M4" s="82" t="str">
        <x:v>needs_second_review</x:v>
      </x:c>
      <x:c r="N4" s="82" t="str">
        <x:v>L1</x:v>
      </x:c>
      <x:c r="O4" s="90" t="str">
        <x:v>The first year student at the University of Surrey died while returning from a sports trip to Italy.</x:v>
      </x:c>
      <x:c r="P4" s="90" t="str">
        <x:v>The university is substantively central to the article, but the record does not establish that its campus falls within one of the 17 sampled divisions. Confirm the sampled-area linkage before treating the Surrey name as sufficient L1 evidence.</x:v>
      </x:c>
      <x:c r="Q4" s="82" t="str">
        <x:v>AI-assisted development draft (researcher verification required)</x:v>
      </x:c>
      <x:c r="R4" s="82" t="str">
        <x:v>2026-07-24</x:v>
      </x:c>
      <x:c r="S4" s="83" t="str">
        <x:f>IF(B4&lt;&gt;"complete","",IF(OR(M4="",N4="",O4="",Q4="",R4=""),"MISSING REQUIRED FIELD","OK"))</x:f>
      </x:c>
    </x:row>
    <x:row r="5" ht="70" customHeight="1">
      <x:c r="A5" s="80" t="n">
        <x:v>2</x:v>
      </x:c>
      <x:c r="B5" s="81" t="str">
        <x:v>complete</x:v>
      </x:c>
      <x:c r="C5" s="81" t="str">
        <x:v>NEWS-guardian_api-07bc83a03221</x:v>
      </x:c>
      <x:c r="D5" s="81" t="str">
        <x:v>ESWS-2026-05</x:v>
      </x:c>
      <x:c r="E5" s="81" t="str">
        <x:v>local</x:v>
      </x:c>
      <x:c r="F5" s="81" t="str">
        <x:v>guardian_api</x:v>
      </x:c>
      <x:c r="G5" s="88" t="str">
        <x:v>Starmer tells Labour MPs he is ‘not prepared to walk away’ after call for him to resign – as it happened </x:v>
      </x:c>
      <x:c r="H5" s="81" t="str">
        <x:v>2026-02-09</x:v>
      </x:c>
      <x:c r="I5" s="81" t="str"/>
      <x:c r="J5" s="88" t="str">
        <x:v>"Reform UK" AND Surrey</x:v>
      </x:c>
      <x:c r="K5" s="81" t="str">
        <x:v>no</x:v>
      </x:c>
      <x:c r="L5" s="81" t="str">
        <x:v>yes</x:v>
      </x:c>
      <x:c r="M5" s="82" t="str">
        <x:v>exclude</x:v>
      </x:c>
      <x:c r="N5" s="82" t="str">
        <x:v>exclusion_boundary</x:v>
      </x:c>
      <x:c r="O5" s="90" t="str">
        <x:v>Keir Starmer has faced down immediate calls for his resignation after receiving the full backing of his cabinet and delivering an impassioned appeal to the PLP this evening that appears to have steadied the government’s ship, at least for now.</x:v>
      </x:c>
      <x:c r="P5" s="90" t="str">
        <x:v>The article is UK national leadership coverage and would satisfy N1 in the national arm, but this record is fixed to the local arm and supplies no Surrey L1-L4 link.</x:v>
      </x:c>
      <x:c r="Q5" s="82" t="str">
        <x:v>AI-assisted development draft (researcher verification required)</x:v>
      </x:c>
      <x:c r="R5" s="82" t="str">
        <x:v>2026-07-24</x:v>
      </x:c>
      <x:c r="S5" s="83" t="str">
        <x:f>IF(B5&lt;&gt;"complete","",IF(OR(M5="",N5="",O5="",Q5="",R5=""),"MISSING REQUIRED FIELD","OK"))</x:f>
        <x:v>OK</x:v>
      </x:c>
    </x:row>
    <x:row r="6" ht="70" customHeight="1">
      <x:c r="A6" s="80" t="n">
        <x:v>3</x:v>
      </x:c>
      <x:c r="B6" s="81" t="str">
        <x:v>complete</x:v>
      </x:c>
      <x:c r="C6" s="81" t="str">
        <x:v>NEWS-guardian_api-0a2b7642ed1f</x:v>
      </x:c>
      <x:c r="D6" s="81" t="str">
        <x:v>ESWS-2026-05</x:v>
      </x:c>
      <x:c r="E6" s="81" t="str">
        <x:v>local</x:v>
      </x:c>
      <x:c r="F6" s="81" t="str">
        <x:v>guardian_api</x:v>
      </x:c>
      <x:c r="G6" s="88" t="str">
        <x:v>Could Lib Dems become the biggest party in English local government?</x:v>
      </x:c>
      <x:c r="H6" s="81" t="str">
        <x:v>2026-04-30</x:v>
      </x:c>
      <x:c r="I6" s="81" t="str"/>
      <x:c r="J6" s="88" t="str">
        <x:v>"Reform UK" AND Surrey</x:v>
      </x:c>
      <x:c r="K6" s="81" t="str">
        <x:v>no</x:v>
      </x:c>
      <x:c r="L6" s="81" t="str">
        <x:v>yes</x:v>
      </x:c>
      <x:c r="M6" s="82" t="str">
        <x:v>exclude</x:v>
      </x:c>
      <x:c r="N6" s="82" t="str">
        <x:v>exclusion_boundary</x:v>
      </x:c>
      <x:c r="O6" s="90" t="str">
        <x:v>It has been an election buildup dominated by the rise of Reform UK and the Greens, and the contrasting woes of Labour and the Tories.</x:v>
      </x:c>
      <x:c r="P6" s="90" t="str">
        <x:v>The article concerns English local-government party performance nationally. It may satisfy N1 in a national search, but it does not satisfy any local L-rule for this local-arm record.</x:v>
      </x:c>
      <x:c r="Q6" s="82" t="str">
        <x:v>AI-assisted development draft (researcher verification required)</x:v>
      </x:c>
      <x:c r="R6" s="82" t="str">
        <x:v>2026-07-24</x:v>
      </x:c>
      <x:c r="S6" s="83" t="str">
        <x:f>IF(B6&lt;&gt;"complete","",IF(OR(M6="",N6="",O6="",Q6="",R6=""),"MISSING REQUIRED FIELD","OK"))</x:f>
        <x:v>OK</x:v>
      </x:c>
    </x:row>
    <x:row r="7" ht="70" customHeight="1">
      <x:c r="A7" s="80" t="n">
        <x:v>4</x:v>
      </x:c>
      <x:c r="B7" s="81" t="str">
        <x:v>complete</x:v>
      </x:c>
      <x:c r="C7" s="81" t="str">
        <x:v>NEWS-guardian_api-0a8a98eec2fa</x:v>
      </x:c>
      <x:c r="D7" s="81" t="str">
        <x:v>SCC-2021-05</x:v>
      </x:c>
      <x:c r="E7" s="81" t="str">
        <x:v>local</x:v>
      </x:c>
      <x:c r="F7" s="81" t="str">
        <x:v>guardian_api</x:v>
      </x:c>
      <x:c r="G7" s="88" t="str">
        <x:v>Funding gap of £643m puts  special needs teaching at risk</x:v>
      </x:c>
      <x:c r="H7" s="81" t="str">
        <x:v>2020-12-05</x:v>
      </x:c>
      <x:c r="I7" s="81" t="str"/>
      <x:c r="J7" s="88" t="str">
        <x:v>Surrey AND (council OR election)</x:v>
      </x:c>
      <x:c r="K7" s="81" t="str">
        <x:v>no</x:v>
      </x:c>
      <x:c r="L7" s="81" t="str">
        <x:v>yes</x:v>
      </x:c>
      <x:c r="M7" s="82" t="str">
        <x:v>exclude</x:v>
      </x:c>
      <x:c r="N7" s="82" t="str">
        <x:v>exclusion_boundary</x:v>
      </x:c>
      <x:c r="O7" s="90" t="str">
        <x:v>Almost 90% of English councils overspent on their budgets for teaching children with special needs last year, and the underfunding is set to continue into 2021, according to figures seen by the Observer.</x:v>
      </x:c>
      <x:c r="P7" s="90" t="str">
        <x:v>The article concerns SEND funding across English councils. A Surrey council quotation is one example in a national comparison and does not establish an effect on a sampled Surrey division.</x:v>
      </x:c>
      <x:c r="Q7" s="82" t="str">
        <x:v>AI-assisted development draft (researcher verification required)</x:v>
      </x:c>
      <x:c r="R7" s="82" t="str">
        <x:v>2026-07-24</x:v>
      </x:c>
      <x:c r="S7" s="83" t="str">
        <x:f>IF(B7&lt;&gt;"complete","",IF(OR(M7="",N7="",O7="",Q7="",R7=""),"MISSING REQUIRED FIELD","OK"))</x:f>
        <x:v>OK</x:v>
      </x:c>
    </x:row>
    <x:row r="8" ht="70" customHeight="1">
      <x:c r="A8" s="80" t="n">
        <x:v>5</x:v>
      </x:c>
      <x:c r="B8" s="81" t="str">
        <x:v>complete</x:v>
      </x:c>
      <x:c r="C8" s="81" t="str">
        <x:v>NEWS-guardian_api-0e7b3e16141a</x:v>
      </x:c>
      <x:c r="D8" s="81" t="str">
        <x:v>ESWS-2026-05</x:v>
      </x:c>
      <x:c r="E8" s="81" t="str">
        <x:v>local</x:v>
      </x:c>
      <x:c r="F8" s="81" t="str">
        <x:v>guardian_api</x:v>
      </x:c>
      <x:c r="G8" s="88" t="str">
        <x:v>UK politics: Government abandons plans to delay 30 local council elections in May – as it happened</x:v>
      </x:c>
      <x:c r="H8" s="81" t="str">
        <x:v>2026-02-16</x:v>
      </x:c>
      <x:c r="I8" s="81" t="str"/>
      <x:c r="J8" s="88" t="str">
        <x:v>"Reform UK" AND Surrey</x:v>
      </x:c>
      <x:c r="K8" s="81" t="str">
        <x:v>no</x:v>
      </x:c>
      <x:c r="L8" s="81" t="str">
        <x:v>yes</x:v>
      </x:c>
      <x:c r="M8" s="82" t="str">
        <x:v>exclude</x:v>
      </x:c>
      <x:c r="N8" s="82" t="str">
        <x:v>exclusion_boundary</x:v>
      </x:c>
      <x:c r="O8" s="90" t="str">
        <x:v>Ministers have dropped plans to delay 30 local elections this May after receiving legal advice that doing so might be unlawful.</x:v>
      </x:c>
      <x:c r="P8" s="90" t="str">
        <x:v>The live blog concerns national decisions about English local elections. It contains no sampled Surrey place or Surrey-specific council effect, so a general local-government story cannot satisfy local L3.</x:v>
      </x:c>
      <x:c r="Q8" s="82" t="str">
        <x:v>AI-assisted development draft (researcher verification required)</x:v>
      </x:c>
      <x:c r="R8" s="82" t="str">
        <x:v>2026-07-24</x:v>
      </x:c>
      <x:c r="S8" s="83" t="str">
        <x:f>IF(B8&lt;&gt;"complete","",IF(OR(M8="",N8="",O8="",Q8="",R8=""),"MISSING REQUIRED FIELD","OK"))</x:f>
        <x:v>OK</x:v>
      </x:c>
    </x:row>
    <x:row r="9" ht="70" customHeight="1">
      <x:c r="A9" s="80" t="n">
        <x:v>6</x:v>
      </x:c>
      <x:c r="B9" s="81" t="str">
        <x:v>complete</x:v>
      </x:c>
      <x:c r="C9" s="81" t="str">
        <x:v>NEWS-guardian_api-0f4380a6f846</x:v>
      </x:c>
      <x:c r="D9" s="81" t="str">
        <x:v>SCC-2021-05</x:v>
      </x:c>
      <x:c r="E9" s="81" t="str">
        <x:v>national</x:v>
      </x:c>
      <x:c r="F9" s="81" t="str">
        <x:v>guardian_api</x:v>
      </x:c>
      <x:c r="G9" s="88" t="str">
        <x:v>Revisiting the rose-tinted British history I was taught 60 years ago | Letter</x:v>
      </x:c>
      <x:c r="H9" s="81" t="str">
        <x:v>2021-03-10</x:v>
      </x:c>
      <x:c r="I9" s="81" t="str"/>
      <x:c r="J9" s="88" t="str">
        <x:v>"Reform UK"</x:v>
      </x:c>
      <x:c r="K9" s="81" t="str">
        <x:v>no</x:v>
      </x:c>
      <x:c r="L9" s="81" t="str">
        <x:v>no</x:v>
      </x:c>
      <x:c r="M9" s="82" t="str">
        <x:v>include</x:v>
      </x:c>
      <x:c r="N9" s="82" t="str">
        <x:v>N1</x:v>
      </x:c>
      <x:c r="O9" s="90" t="str">
        <x:v>Nigel Farage must know but doesn’t seem to care that history is written by the winners (Nigel Farage quits as Reform UK leader in step back from party politics, 8 March) as he worries about what our children might learn today.</x:v>
      </x:c>
      <x:c r="P9" s="90" t="str">
        <x:v>The letter directly discusses Nigel Farage, Reform UK leadership and party politics. That is sufficient national-party evidence under N1 even though most of the letter discusses historical education.</x:v>
      </x:c>
      <x:c r="Q9" s="82" t="str">
        <x:v>AI-assisted development draft (researcher verification required)</x:v>
      </x:c>
      <x:c r="R9" s="82" t="str">
        <x:v>2026-07-24</x:v>
      </x:c>
      <x:c r="S9" s="83" t="str">
        <x:f>IF(B9&lt;&gt;"complete","",IF(OR(M9="",N9="",O9="",Q9="",R9=""),"MISSING REQUIRED FIELD","OK"))</x:f>
        <x:v>OK</x:v>
      </x:c>
    </x:row>
    <x:row r="10" ht="70" customHeight="1">
      <x:c r="A10" s="80" t="n">
        <x:v>7</x:v>
      </x:c>
      <x:c r="B10" s="81" t="str">
        <x:v>complete</x:v>
      </x:c>
      <x:c r="C10" s="81" t="str">
        <x:v>NEWS-guardian_api-1593f58b94d2</x:v>
      </x:c>
      <x:c r="D10" s="81" t="str">
        <x:v>SCC-2017-05</x:v>
      </x:c>
      <x:c r="E10" s="81" t="str">
        <x:v>local</x:v>
      </x:c>
      <x:c r="F10" s="81" t="str">
        <x:v>guardian_api</x:v>
      </x:c>
      <x:c r="G10" s="88" t="str">
        <x:v>Millwall stadium controversy intensifies as false funding claims revealed</x:v>
      </x:c>
      <x:c r="H10" s="81" t="str">
        <x:v>2017-01-19</x:v>
      </x:c>
      <x:c r="I10" s="81" t="str"/>
      <x:c r="J10" s="88" t="str">
        <x:v>Surrey AND (council OR election)</x:v>
      </x:c>
      <x:c r="K10" s="81" t="str">
        <x:v>no</x:v>
      </x:c>
      <x:c r="L10" s="81" t="str">
        <x:v>yes</x:v>
      </x:c>
      <x:c r="M10" s="82" t="str">
        <x:v>exclude</x:v>
      </x:c>
      <x:c r="N10" s="82" t="str">
        <x:v>exclusion_boundary</x:v>
      </x:c>
      <x:c r="O10" s="90" t="str">
        <x:v>The sports foundation at the heart of the Millwall FC compulsory purchase battle has been making false claims of having a £2m funding agreement from Sport England during the ongoing CPO process, the Guardian can reveal.</x:v>
      </x:c>
      <x:c r="P10" s="90" t="str">
        <x:v>The story is about Millwall, Lewisham council and a company called Surrey Canal Sports Foundation. Surrey Canal is a name connected to south London, not evidence of a Surrey council issue or sampled Surrey place.</x:v>
      </x:c>
      <x:c r="Q10" s="82" t="str">
        <x:v>AI-assisted development draft (researcher verification required)</x:v>
      </x:c>
      <x:c r="R10" s="82" t="str">
        <x:v>2026-07-24</x:v>
      </x:c>
      <x:c r="S10" s="83" t="str">
        <x:f>IF(B10&lt;&gt;"complete","",IF(OR(M10="",N10="",O10="",Q10="",R10=""),"MISSING REQUIRED FIELD","OK"))</x:f>
        <x:v>OK</x:v>
      </x:c>
    </x:row>
    <x:row r="11" ht="70" customHeight="1">
      <x:c r="A11" s="80" t="n">
        <x:v>8</x:v>
      </x:c>
      <x:c r="B11" s="81" t="str">
        <x:v>complete</x:v>
      </x:c>
      <x:c r="C11" s="81" t="str">
        <x:v>NEWS-guardian_api-165b44f90fe0</x:v>
      </x:c>
      <x:c r="D11" s="81" t="str">
        <x:v>SCC-2017-05</x:v>
      </x:c>
      <x:c r="E11" s="81" t="str">
        <x:v>local</x:v>
      </x:c>
      <x:c r="F11" s="81" t="str">
        <x:v>guardian_api</x:v>
      </x:c>
      <x:c r="G11" s="88" t="str">
        <x:v>The Guardian view on the last PMQs: now the unnecessary election | Editorial</x:v>
      </x:c>
      <x:c r="H11" s="81" t="str">
        <x:v>2017-04-26</x:v>
      </x:c>
      <x:c r="I11" s="81" t="str"/>
      <x:c r="J11" s="88" t="str">
        <x:v>UKIP AND Surrey</x:v>
      </x:c>
      <x:c r="K11" s="81" t="str">
        <x:v>no</x:v>
      </x:c>
      <x:c r="L11" s="81" t="str">
        <x:v>yes</x:v>
      </x:c>
      <x:c r="M11" s="82" t="str">
        <x:v>exclude</x:v>
      </x:c>
      <x:c r="N11" s="82" t="str">
        <x:v>exclusion_boundary</x:v>
      </x:c>
      <x:c r="O11" s="90" t="str">
        <x:v>The business of the shortest parliament since 1974 is nearly done.</x:v>
      </x:c>
      <x:c r="P11" s="90" t="str">
        <x:v>The editorial is about the UK general election and Brexit. Its retrospective Surrey council example is a passing illustration and is not Surrey-wide political coverage for the sampled local arm.</x:v>
      </x:c>
      <x:c r="Q11" s="82" t="str">
        <x:v>AI-assisted development draft (researcher verification required)</x:v>
      </x:c>
      <x:c r="R11" s="82" t="str">
        <x:v>2026-07-24</x:v>
      </x:c>
      <x:c r="S11" s="83" t="str">
        <x:f>IF(B11&lt;&gt;"complete","",IF(OR(M11="",N11="",O11="",Q11="",R11=""),"MISSING REQUIRED FIELD","OK"))</x:f>
        <x:v>OK</x:v>
      </x:c>
    </x:row>
    <x:row r="12" ht="70" customHeight="1">
      <x:c r="A12" s="80" t="n">
        <x:v>9</x:v>
      </x:c>
      <x:c r="B12" s="81" t="str">
        <x:v>complete</x:v>
      </x:c>
      <x:c r="C12" s="81" t="str">
        <x:v>NEWS-guardian_api-1d67c0c9dc56</x:v>
      </x:c>
      <x:c r="D12" s="81" t="str">
        <x:v>SCC-2017-05</x:v>
      </x:c>
      <x:c r="E12" s="81" t="str">
        <x:v>national</x:v>
      </x:c>
      <x:c r="F12" s="81" t="str">
        <x:v>guardian_api</x:v>
      </x:c>
      <x:c r="G12" s="88" t="str">
        <x:v>You look familiar: on patrol with the Met’s super-recognisers</x:v>
      </x:c>
      <x:c r="H12" s="81" t="str">
        <x:v>2016-11-05</x:v>
      </x:c>
      <x:c r="I12" s="81" t="str"/>
      <x:c r="J12" s="88" t="str">
        <x:v>UK immigration policy</x:v>
      </x:c>
      <x:c r="K12" s="81" t="str">
        <x:v>no</x:v>
      </x:c>
      <x:c r="L12" s="81" t="str">
        <x:v>no</x:v>
      </x:c>
      <x:c r="M12" s="82" t="str">
        <x:v>include</x:v>
      </x:c>
      <x:c r="N12" s="82" t="str">
        <x:v>N2</x:v>
      </x:c>
      <x:c r="O12" s="90" t="str">
        <x:v>When Gary Collins arrived at work in Stoke Newington police station, east London, in January last year he was told a teenage boy had been stabbed to death.</x:v>
      </x:c>
      <x:c r="P12" s="90" t="str">
        <x:v>The article substantively examines a Metropolitan Police identification service and its use in criminal investigations. Policing is a national public-service issue within the N2 public-services category.</x:v>
      </x:c>
      <x:c r="Q12" s="82" t="str">
        <x:v>AI-assisted development draft (researcher verification required)</x:v>
      </x:c>
      <x:c r="R12" s="82" t="str">
        <x:v>2026-07-24</x:v>
      </x:c>
      <x:c r="S12" s="83" t="str">
        <x:f>IF(B12&lt;&gt;"complete","",IF(OR(M12="",N12="",O12="",Q12="",R12=""),"MISSING REQUIRED FIELD","OK"))</x:f>
        <x:v>OK</x:v>
      </x:c>
    </x:row>
    <x:row r="13" ht="70" customHeight="1">
      <x:c r="A13" s="80" t="n">
        <x:v>10</x:v>
      </x:c>
      <x:c r="B13" s="81" t="str">
        <x:v>complete</x:v>
      </x:c>
      <x:c r="C13" s="81" t="str">
        <x:v>NEWS-guardian_api-26998343d44f</x:v>
      </x:c>
      <x:c r="D13" s="81" t="str">
        <x:v>SCC-2013-05</x:v>
      </x:c>
      <x:c r="E13" s="81" t="str">
        <x:v>national</x:v>
      </x:c>
      <x:c r="F13" s="81" t="str">
        <x:v>guardian_api</x:v>
      </x:c>
      <x:c r="G13" s="88" t="str">
        <x:v>Wages have flattened for years, the cost of living has spiralled and the richest have accelerated away. Join our debate. We want to hear your ideas for a new economy.</x:v>
      </x:c>
      <x:c r="H13" s="81" t="str">
        <x:v>2013-02-03</x:v>
      </x:c>
      <x:c r="I13" s="81" t="str"/>
      <x:c r="J13" s="88" t="str">
        <x:v>"cost of living"</x:v>
      </x:c>
      <x:c r="K13" s="81" t="str">
        <x:v>no</x:v>
      </x:c>
      <x:c r="L13" s="81" t="str">
        <x:v>no</x:v>
      </x:c>
      <x:c r="M13" s="82" t="str">
        <x:v>include</x:v>
      </x:c>
      <x:c r="N13" s="82" t="str">
        <x:v>N2</x:v>
      </x:c>
      <x:c r="O13" s="90" t="str">
        <x:v>Today, the Observer New Review publishes a vivid account of Robert Reich's new documentary Inequality for All.</x:v>
      </x:c>
      <x:c r="P13" s="90" t="str">
        <x:v>The article explicitly concerns stagnant wages, rising living costs and economic inequality. These are substantive cost-of-living issues under N2.</x:v>
      </x:c>
      <x:c r="Q13" s="82" t="str">
        <x:v>AI-assisted development draft (researcher verification required)</x:v>
      </x:c>
      <x:c r="R13" s="82" t="str">
        <x:v>2026-07-24</x:v>
      </x:c>
      <x:c r="S13" s="83" t="str">
        <x:f>IF(B13&lt;&gt;"complete","",IF(OR(M13="",N13="",O13="",Q13="",R13=""),"MISSING REQUIRED FIELD","OK"))</x:f>
        <x:v>OK</x:v>
      </x:c>
    </x:row>
    <x:row r="14" ht="70" customHeight="1">
      <x:c r="A14" s="80" t="n">
        <x:v>11</x:v>
      </x:c>
      <x:c r="B14" s="81" t="str">
        <x:v>complete</x:v>
      </x:c>
      <x:c r="C14" s="81" t="str">
        <x:v>NEWS-guardian_api-299f68788499</x:v>
      </x:c>
      <x:c r="D14" s="81" t="str">
        <x:v>SCC-2013-05</x:v>
      </x:c>
      <x:c r="E14" s="81" t="str">
        <x:v>local</x:v>
      </x:c>
      <x:c r="F14" s="81" t="str">
        <x:v>guardian_api</x:v>
      </x:c>
      <x:c r="G14" s="88" t="str">
        <x:v>Norovirus: people with winter vomiting bug urged to stay at home</x:v>
      </x:c>
      <x:c r="H14" s="81" t="str">
        <x:v>2012-12-19</x:v>
      </x:c>
      <x:c r="I14" s="81" t="str"/>
      <x:c r="J14" s="88" t="str">
        <x:v>Surrey AND (council OR election)</x:v>
      </x:c>
      <x:c r="K14" s="81" t="str">
        <x:v>no</x:v>
      </x:c>
      <x:c r="L14" s="81" t="str">
        <x:v>yes</x:v>
      </x:c>
      <x:c r="M14" s="82" t="str">
        <x:v>include</x:v>
      </x:c>
      <x:c r="N14" s="82" t="str">
        <x:v>L1</x:v>
      </x:c>
      <x:c r="O14" s="90" t="str">
        <x:v>In the south of England East Surrey hospital in Redhill stopped visits to 10 of its wards on Tuesday, a decision which had not been taken lightly, Surrey and Sussex Healthcare NHS trust said.</x:v>
      </x:c>
      <x:c r="P14" s="90" t="str">
        <x:v>The article gives a substantive local example at East Surrey Hospital in Redhill. The correct basis is L1 place linkage; the NHS trust decision is not a Surrey council decision and should not be coded as L3.</x:v>
      </x:c>
      <x:c r="Q14" s="82" t="str">
        <x:v>AI-assisted development draft (researcher verification required)</x:v>
      </x:c>
      <x:c r="R14" s="82" t="str">
        <x:v>2026-07-24</x:v>
      </x:c>
      <x:c r="S14" s="83" t="str">
        <x:f>IF(B14&lt;&gt;"complete","",IF(OR(M14="",N14="",O14="",Q14="",R14=""),"MISSING REQUIRED FIELD","OK"))</x:f>
        <x:v>OK</x:v>
      </x:c>
    </x:row>
    <x:row r="15" ht="70" customHeight="1">
      <x:c r="A15" s="80" t="n">
        <x:v>12</x:v>
      </x:c>
      <x:c r="B15" s="81" t="str">
        <x:v>complete</x:v>
      </x:c>
      <x:c r="C15" s="81" t="str">
        <x:v>NEWS-guardian_api-34e77f9bede6</x:v>
      </x:c>
      <x:c r="D15" s="81" t="str">
        <x:v>SCC-2013-05</x:v>
      </x:c>
      <x:c r="E15" s="81" t="str">
        <x:v>national</x:v>
      </x:c>
      <x:c r="F15" s="81" t="str">
        <x:v>guardian_api</x:v>
      </x:c>
      <x:c r="G15" s="88" t="str">
        <x:v>David Davies, Conservative MP: 'I may well be wrong'</x:v>
      </x:c>
      <x:c r="H15" s="81" t="str">
        <x:v>2012-12-21</x:v>
      </x:c>
      <x:c r="I15" s="81" t="str"/>
      <x:c r="J15" s="88" t="str">
        <x:v>UKIP AND Conservatives</x:v>
      </x:c>
      <x:c r="K15" s="81" t="str">
        <x:v>no</x:v>
      </x:c>
      <x:c r="L15" s="81" t="str">
        <x:v>no</x:v>
      </x:c>
      <x:c r="M15" s="82" t="str">
        <x:v>include</x:v>
      </x:c>
      <x:c r="N15" s="82" t="str">
        <x:v>N1</x:v>
      </x:c>
      <x:c r="O15" s="90" t="str">
        <x:v>Having campaigned against devolution in Wales, in 1999 he was elected to the Welsh Assembly on a platform of opposition to any further devolution, and won Monmouth for the Conservatives in 2005.</x:v>
      </x:c>
      <x:c r="P15" s="90" t="str">
        <x:v>The full article is a political profile of a Conservative MP and discusses his electoral and parliamentary positions. The decisive N1 material was outside the short v1 excerpt.</x:v>
      </x:c>
      <x:c r="Q15" s="82" t="str">
        <x:v>AI-assisted development draft (researcher verification required)</x:v>
      </x:c>
      <x:c r="R15" s="82" t="str">
        <x:v>2026-07-24</x:v>
      </x:c>
      <x:c r="S15" s="83" t="str">
        <x:f>IF(B15&lt;&gt;"complete","",IF(OR(M15="",N15="",O15="",Q15="",R15=""),"MISSING REQUIRED FIELD","OK"))</x:f>
        <x:v>OK</x:v>
      </x:c>
    </x:row>
    <x:row r="16" ht="70" customHeight="1">
      <x:c r="A16" s="80" t="n">
        <x:v>13</x:v>
      </x:c>
      <x:c r="B16" s="81" t="str">
        <x:v>complete</x:v>
      </x:c>
      <x:c r="C16" s="81" t="str">
        <x:v>NEWS-guardian_api-3a9be3f68624</x:v>
      </x:c>
      <x:c r="D16" s="81" t="str">
        <x:v>SCC-2021-05</x:v>
      </x:c>
      <x:c r="E16" s="81" t="str">
        <x:v>local</x:v>
      </x:c>
      <x:c r="F16" s="81" t="str">
        <x:v>guardian_api</x:v>
      </x:c>
      <x:c r="G16" s="88" t="str">
        <x:v>‘I can’t sell mum’s retirement flat – and the charges are mounting up’</x:v>
      </x:c>
      <x:c r="H16" s="81" t="str">
        <x:v>2021-03-28</x:v>
      </x:c>
      <x:c r="I16" s="81" t="str"/>
      <x:c r="J16" s="88" t="str">
        <x:v>Surrey AND (council OR election)</x:v>
      </x:c>
      <x:c r="K16" s="81" t="str">
        <x:v>no</x:v>
      </x:c>
      <x:c r="L16" s="81" t="str">
        <x:v>yes</x:v>
      </x:c>
      <x:c r="M16" s="82" t="str">
        <x:v>exclude</x:v>
      </x:c>
      <x:c r="N16" s="82" t="str">
        <x:v>exclusion_boundary</x:v>
      </x:c>
      <x:c r="O16" s="90" t="str">
        <x:v>In April 2018, a woman told the newspaper how she was struggling to sell the retirement flat her late parents had bought in 1997 and that she had been forced to cut the price from £185,000 to £140,000, well below the £260,000 average for a normal flat in the same Surrey village.</x:v>
      </x:c>
      <x:c r="P16" s="90" t="str">
        <x:v>The article's main case concerns a retirement flat in Solihull. The unnamed Surrey village appears only in a comparison with a different case and does not create substantive sampled-area relevance.</x:v>
      </x:c>
      <x:c r="Q16" s="82" t="str">
        <x:v>AI-assisted development draft (researcher verification required)</x:v>
      </x:c>
      <x:c r="R16" s="82" t="str">
        <x:v>2026-07-24</x:v>
      </x:c>
      <x:c r="S16" s="83" t="str">
        <x:f>IF(B16&lt;&gt;"complete","",IF(OR(M16="",N16="",O16="",Q16="",R16=""),"MISSING REQUIRED FIELD","OK"))</x:f>
        <x:v>OK</x:v>
      </x:c>
    </x:row>
    <x:row r="17" ht="70" customHeight="1">
      <x:c r="A17" s="80" t="n">
        <x:v>14</x:v>
      </x:c>
      <x:c r="B17" s="81" t="str">
        <x:v>complete</x:v>
      </x:c>
      <x:c r="C17" s="81" t="str">
        <x:v>NEWS-guardian_api-4b66c98ae734</x:v>
      </x:c>
      <x:c r="D17" s="81" t="str">
        <x:v>ESWS-2026-05</x:v>
      </x:c>
      <x:c r="E17" s="81" t="str">
        <x:v>local</x:v>
      </x:c>
      <x:c r="F17" s="81" t="str">
        <x:v>guardian_api</x:v>
      </x:c>
      <x:c r="G17" s="88" t="str">
        <x:v>‘We’ve seen it decimate areas’: Somerset town’s traders oppose parking charges</x:v>
      </x:c>
      <x:c r="H17" s="81" t="str">
        <x:v>2025-12-23</x:v>
      </x:c>
      <x:c r="I17" s="81" t="str"/>
      <x:c r="J17" s="88" t="str">
        <x:v>Surrey AND (council OR election)</x:v>
      </x:c>
      <x:c r="K17" s="81" t="str">
        <x:v>no</x:v>
      </x:c>
      <x:c r="L17" s="81" t="str">
        <x:v>yes</x:v>
      </x:c>
      <x:c r="M17" s="82" t="str">
        <x:v>exclude</x:v>
      </x:c>
      <x:c r="N17" s="82" t="str">
        <x:v>exclusion_boundary</x:v>
      </x:c>
      <x:c r="O17" s="90" t="str">
        <x:v>The shop windows are decked out in their festive finery, there are carols on the stereos and the tills are ringing.</x:v>
      </x:c>
      <x:c r="P17" s="90" t="str">
        <x:v>The article concerns parking charges in Clevedon imposed by North Somerset council. A non-Surrey council issue cannot satisfy local L3.</x:v>
      </x:c>
      <x:c r="Q17" s="82" t="str">
        <x:v>AI-assisted development draft (researcher verification required)</x:v>
      </x:c>
      <x:c r="R17" s="82" t="str">
        <x:v>2026-07-24</x:v>
      </x:c>
      <x:c r="S17" s="83" t="str">
        <x:f>IF(B17&lt;&gt;"complete","",IF(OR(M17="",N17="",O17="",Q17="",R17=""),"MISSING REQUIRED FIELD","OK"))</x:f>
        <x:v>OK</x:v>
      </x:c>
    </x:row>
    <x:row r="18" ht="70" customHeight="1">
      <x:c r="A18" s="80" t="n">
        <x:v>15</x:v>
      </x:c>
      <x:c r="B18" s="81" t="str">
        <x:v>complete</x:v>
      </x:c>
      <x:c r="C18" s="81" t="str">
        <x:v>NEWS-guardian_api-4f0bd20943f7</x:v>
      </x:c>
      <x:c r="D18" s="81" t="str">
        <x:v>SCC-2017-05</x:v>
      </x:c>
      <x:c r="E18" s="81" t="str">
        <x:v>national</x:v>
      </x:c>
      <x:c r="F18" s="81" t="str">
        <x:v>guardian_api</x:v>
      </x:c>
      <x:c r="G18" s="88" t="str">
        <x:v>From Trump to Brexit, power has leaked from cities to the countryside | Andy Beckett</x:v>
      </x:c>
      <x:c r="H18" s="81" t="str">
        <x:v>2016-12-12</x:v>
      </x:c>
      <x:c r="I18" s="81" t="str"/>
      <x:c r="J18" s="88" t="str">
        <x:v>UKIP AND Conservatives</x:v>
      </x:c>
      <x:c r="K18" s="81" t="str">
        <x:v>no</x:v>
      </x:c>
      <x:c r="L18" s="81" t="str">
        <x:v>no</x:v>
      </x:c>
      <x:c r="M18" s="82" t="str">
        <x:v>include</x:v>
      </x:c>
      <x:c r="N18" s="82" t="str">
        <x:v>N1</x:v>
      </x:c>
      <x:c r="O18" s="90" t="str">
        <x:v>A revolt against urban liberalism and multiculturalism, and their supposed imposition on the rest of the population, was a big element of the Brexit and Donald Trump campaigns.</x:v>
      </x:c>
      <x:c r="P18" s="90" t="str">
        <x:v>The analysis concerns Brexit, Donald Trump and the political division between urban and rural voters. It is substantive national political coverage under N1.</x:v>
      </x:c>
      <x:c r="Q18" s="82" t="str">
        <x:v>AI-assisted development draft (researcher verification required)</x:v>
      </x:c>
      <x:c r="R18" s="82" t="str">
        <x:v>2026-07-24</x:v>
      </x:c>
      <x:c r="S18" s="83" t="str">
        <x:f>IF(B18&lt;&gt;"complete","",IF(OR(M18="",N18="",O18="",Q18="",R18=""),"MISSING REQUIRED FIELD","OK"))</x:f>
        <x:v>OK</x:v>
      </x:c>
    </x:row>
    <x:row r="19" ht="70" customHeight="1">
      <x:c r="A19" s="80" t="n">
        <x:v>16</x:v>
      </x:c>
      <x:c r="B19" s="81" t="str">
        <x:v>needs_adjudication</x:v>
      </x:c>
      <x:c r="C19" s="81" t="str">
        <x:v>NEWS-guardian_api-4fc41ad01b24</x:v>
      </x:c>
      <x:c r="D19" s="81" t="str">
        <x:v>SCC-2013-05</x:v>
      </x:c>
      <x:c r="E19" s="81" t="str">
        <x:v>national</x:v>
      </x:c>
      <x:c r="F19" s="81" t="str">
        <x:v>guardian_api</x:v>
      </x:c>
      <x:c r="G19" s="88" t="str">
        <x:v>Global awareness in schools: opportunities, challenges and ideas - live chat</x:v>
      </x:c>
      <x:c r="H19" s="81" t="str">
        <x:v>2012-11-03</x:v>
      </x:c>
      <x:c r="I19" s="81" t="str"/>
      <x:c r="J19" s="88" t="str">
        <x:v>UK immigration policy</x:v>
      </x:c>
      <x:c r="K19" s="81" t="str">
        <x:v>no</x:v>
      </x:c>
      <x:c r="L19" s="81" t="str">
        <x:v>no</x:v>
      </x:c>
      <x:c r="M19" s="82" t="str">
        <x:v>needs_second_review</x:v>
      </x:c>
      <x:c r="N19" s="82" t="str">
        <x:v>N2</x:v>
      </x:c>
      <x:c r="O19" s="90" t="str">
        <x:v>Liz Neil is account co-ordinator, programmes and projects at British Council Liz has many years experience working on international education programmes for schools, colleges and universities, including eTwinning and Comenius.</x:v>
      </x:c>
      <x:c r="P19" s="90" t="str">
        <x:v>The article concerns global awareness teaching rather than a clearly defined UK political decision, funding question or public-service performance issue. Adjudication should clarify whether general educational practice falls within N2 public services.</x:v>
      </x:c>
      <x:c r="Q19" s="82" t="str">
        <x:v>AI-assisted development draft (researcher verification required)</x:v>
      </x:c>
      <x:c r="R19" s="82" t="str">
        <x:v>2026-07-24</x:v>
      </x:c>
      <x:c r="S19" s="83" t="str">
        <x:f>IF(B19&lt;&gt;"complete","",IF(OR(M19="",N19="",O19="",Q19="",R19=""),"MISSING REQUIRED FIELD","OK"))</x:f>
      </x:c>
    </x:row>
    <x:row r="20" ht="70" customHeight="1">
      <x:c r="A20" s="80" t="n">
        <x:v>17</x:v>
      </x:c>
      <x:c r="B20" s="81" t="str">
        <x:v>complete</x:v>
      </x:c>
      <x:c r="C20" s="81" t="str">
        <x:v>NEWS-guardian_api-5155ba13661a</x:v>
      </x:c>
      <x:c r="D20" s="81" t="str">
        <x:v>SCC-2021-05</x:v>
      </x:c>
      <x:c r="E20" s="81" t="str">
        <x:v>national</x:v>
      </x:c>
      <x:c r="F20" s="81" t="str">
        <x:v>guardian_api</x:v>
      </x:c>
      <x:c r="G20" s="88" t="str">
        <x:v>Widow sues NHS over deaf husband's 'diabolical' care</x:v>
      </x:c>
      <x:c r="H20" s="81" t="str">
        <x:v>2021-03-07</x:v>
      </x:c>
      <x:c r="I20" s="81" t="str"/>
      <x:c r="J20" s="88" t="str">
        <x:v>NHS AND "public services"</x:v>
      </x:c>
      <x:c r="K20" s="81" t="str">
        <x:v>no</x:v>
      </x:c>
      <x:c r="L20" s="81" t="str">
        <x:v>no</x:v>
      </x:c>
      <x:c r="M20" s="82" t="str">
        <x:v>include</x:v>
      </x:c>
      <x:c r="N20" s="82" t="str">
        <x:v>N2</x:v>
      </x:c>
      <x:c r="O20" s="90" t="str">
        <x:v>A woman is taking legal action against an NHS trust over the “diabolical” and discriminatory treatment of her profoundly deaf husband, who died of cancer in May last year.</x:v>
      </x:c>
      <x:c r="P20" s="90" t="str">
        <x:v>The article concerns alleged discriminatory treatment by an NHS trust and therefore directly addresses NHS service quality under N2.</x:v>
      </x:c>
      <x:c r="Q20" s="82" t="str">
        <x:v>AI-assisted development draft (researcher verification required)</x:v>
      </x:c>
      <x:c r="R20" s="82" t="str">
        <x:v>2026-07-24</x:v>
      </x:c>
      <x:c r="S20" s="83" t="str">
        <x:f>IF(B20&lt;&gt;"complete","",IF(OR(M20="",N20="",O20="",Q20="",R20=""),"MISSING REQUIRED FIELD","OK"))</x:f>
        <x:v>OK</x:v>
      </x:c>
    </x:row>
    <x:row r="21" ht="70" customHeight="1">
      <x:c r="A21" s="80" t="n">
        <x:v>18</x:v>
      </x:c>
      <x:c r="B21" s="81" t="str">
        <x:v>complete</x:v>
      </x:c>
      <x:c r="C21" s="81" t="str">
        <x:v>NEWS-guardian_api-568af3a4ccd4</x:v>
      </x:c>
      <x:c r="D21" s="81" t="str">
        <x:v>SCC-2013-05</x:v>
      </x:c>
      <x:c r="E21" s="81" t="str">
        <x:v>national</x:v>
      </x:c>
      <x:c r="F21" s="81" t="str">
        <x:v>guardian_api</x:v>
      </x:c>
      <x:c r="G21" s="88" t="str">
        <x:v>US presidential election 2012: The fight for Ohio, the state that likes to back the winner</x:v>
      </x:c>
      <x:c r="H21" s="81" t="str">
        <x:v>2012-11-03</x:v>
      </x:c>
      <x:c r="I21" s="81" t="str"/>
      <x:c r="J21" s="88" t="str">
        <x:v>UK immigration policy</x:v>
      </x:c>
      <x:c r="K21" s="81" t="str">
        <x:v>no</x:v>
      </x:c>
      <x:c r="L21" s="81" t="str">
        <x:v>no</x:v>
      </x:c>
      <x:c r="M21" s="82" t="str">
        <x:v>exclude</x:v>
      </x:c>
      <x:c r="N21" s="82" t="str">
        <x:v>exclusion_boundary</x:v>
      </x:c>
      <x:c r="O21" s="90" t="str">
        <x:v>Ohio is where the warring halves of America meet.</x:v>
      </x:c>
      <x:c r="P21" s="90" t="str">
        <x:v>The article is about the United States presidential election. N1 is limited to UK national politics, and the L2 candidate code used by the model is invalid for a national-arm record.</x:v>
      </x:c>
      <x:c r="Q21" s="82" t="str">
        <x:v>AI-assisted development draft (researcher verification required)</x:v>
      </x:c>
      <x:c r="R21" s="82" t="str">
        <x:v>2026-07-24</x:v>
      </x:c>
      <x:c r="S21" s="83" t="str">
        <x:f>IF(B21&lt;&gt;"complete","",IF(OR(M21="",N21="",O21="",Q21="",R21=""),"MISSING REQUIRED FIELD","OK"))</x:f>
        <x:v>OK</x:v>
      </x:c>
    </x:row>
    <x:row r="22" ht="70" customHeight="1">
      <x:c r="A22" s="80" t="n">
        <x:v>19</x:v>
      </x:c>
      <x:c r="B22" s="81" t="str">
        <x:v>complete</x:v>
      </x:c>
      <x:c r="C22" s="81" t="str">
        <x:v>NEWS-guardian_api-649bfee8381e</x:v>
      </x:c>
      <x:c r="D22" s="81" t="str">
        <x:v>ESWS-2026-05</x:v>
      </x:c>
      <x:c r="E22" s="81" t="str">
        <x:v>local</x:v>
      </x:c>
      <x:c r="F22" s="81" t="str">
        <x:v>guardian_api</x:v>
      </x:c>
      <x:c r="G22" s="88" t="str">
        <x:v>No 10 to delay four England mayoral elections amid accusations of ‘cancelling democracy’</x:v>
      </x:c>
      <x:c r="H22" s="81" t="str">
        <x:v>2025-12-04</x:v>
      </x:c>
      <x:c r="I22" s="81" t="str"/>
      <x:c r="J22" s="88" t="str">
        <x:v>"Reform UK" AND Surrey</x:v>
      </x:c>
      <x:c r="K22" s="81" t="str">
        <x:v>no</x:v>
      </x:c>
      <x:c r="L22" s="81" t="str">
        <x:v>yes</x:v>
      </x:c>
      <x:c r="M22" s="82" t="str">
        <x:v>exclude</x:v>
      </x:c>
      <x:c r="N22" s="82" t="str">
        <x:v>exclusion_boundary</x:v>
      </x:c>
      <x:c r="O22" s="90" t="str">
        <x:v>Ministers are to postpone elections for new mayors in four parts of England, prompting accusations from opposition parties that Downing Street is “cancelling democracy”.</x:v>
      </x:c>
      <x:c r="P22" s="90" t="str">
        <x:v>The article concerns mayoral elections in Essex, East Anglia, Hampshire and Sussex. Coverage spanning several English regions is not Surrey-wide political coverage under L4.</x:v>
      </x:c>
      <x:c r="Q22" s="82" t="str">
        <x:v>AI-assisted development draft (researcher verification required)</x:v>
      </x:c>
      <x:c r="R22" s="82" t="str">
        <x:v>2026-07-24</x:v>
      </x:c>
      <x:c r="S22" s="83" t="str">
        <x:f>IF(B22&lt;&gt;"complete","",IF(OR(M22="",N22="",O22="",Q22="",R22=""),"MISSING REQUIRED FIELD","OK"))</x:f>
        <x:v>OK</x:v>
      </x:c>
    </x:row>
    <x:row r="23" ht="70" customHeight="1">
      <x:c r="A23" s="80" t="n">
        <x:v>20</x:v>
      </x:c>
      <x:c r="B23" s="81" t="str">
        <x:v>complete</x:v>
      </x:c>
      <x:c r="C23" s="81" t="str">
        <x:v>NEWS-guardian_api-64ea38ced8bd</x:v>
      </x:c>
      <x:c r="D23" s="81" t="str">
        <x:v>SCC-2021-05</x:v>
      </x:c>
      <x:c r="E23" s="81" t="str">
        <x:v>local</x:v>
      </x:c>
      <x:c r="F23" s="81" t="str">
        <x:v>guardian_api</x:v>
      </x:c>
      <x:c r="G23" s="88" t="str">
        <x:v>'After assembly, I cried': Surrey school grapples with race issues</x:v>
      </x:c>
      <x:c r="H23" s="81" t="str">
        <x:v>2021-03-28</x:v>
      </x:c>
      <x:c r="I23" s="81" t="str"/>
      <x:c r="J23" s="88" t="str">
        <x:v>Surrey AND (council OR election)</x:v>
      </x:c>
      <x:c r="K23" s="81" t="str">
        <x:v>no</x:v>
      </x:c>
      <x:c r="L23" s="81" t="str">
        <x:v>yes</x:v>
      </x:c>
      <x:c r="M23" s="82" t="str">
        <x:v>exclude</x:v>
      </x:c>
      <x:c r="N23" s="82" t="str">
        <x:v>exclusion_boundary</x:v>
      </x:c>
      <x:c r="O23" s="90" t="str">
        <x:v>The speech was made in the playground of Nonsuch high school for girls in Surrey.</x:v>
      </x:c>
      <x:c r="P23" s="90" t="str">
        <x:v>The article is substantively about Nonsuch High School, but the school is associated with the Nonsuch area rather than any of the 17 sampled divisions in this study. A generic Surrey description is insufficient for sampled-area L1.</x:v>
      </x:c>
      <x:c r="Q23" s="82" t="str">
        <x:v>AI-assisted development draft (researcher verification required)</x:v>
      </x:c>
      <x:c r="R23" s="82" t="str">
        <x:v>2026-07-24</x:v>
      </x:c>
      <x:c r="S23" s="83" t="str">
        <x:f>IF(B23&lt;&gt;"complete","",IF(OR(M23="",N23="",O23="",Q23="",R23=""),"MISSING REQUIRED FIELD","OK"))</x:f>
        <x:v>OK</x:v>
      </x:c>
    </x:row>
    <x:row r="24" ht="70" customHeight="1">
      <x:c r="A24" s="80" t="n">
        <x:v>21</x:v>
      </x:c>
      <x:c r="B24" s="81" t="str">
        <x:v>complete</x:v>
      </x:c>
      <x:c r="C24" s="81" t="str">
        <x:v>NEWS-guardian_api-6549611cf8a4</x:v>
      </x:c>
      <x:c r="D24" s="81" t="str">
        <x:v>SCC-2017-05</x:v>
      </x:c>
      <x:c r="E24" s="81" t="str">
        <x:v>local</x:v>
      </x:c>
      <x:c r="F24" s="81" t="str">
        <x:v>guardian_api</x:v>
      </x:c>
      <x:c r="G24" s="88" t="str">
        <x:v>‘The government must unlock the money. Because the care crisis is now’   | Hélène Mulholland</x:v>
      </x:c>
      <x:c r="H24" s="81" t="str">
        <x:v>2017-02-07</x:v>
      </x:c>
      <x:c r="I24" s="81" t="str"/>
      <x:c r="J24" s="88" t="str">
        <x:v>Surrey AND (council OR election)</x:v>
      </x:c>
      <x:c r="K24" s="81" t="str">
        <x:v>no</x:v>
      </x:c>
      <x:c r="L24" s="81" t="str">
        <x:v>yes</x:v>
      </x:c>
      <x:c r="M24" s="82" t="str">
        <x:v>exclude</x:v>
      </x:c>
      <x:c r="N24" s="82" t="str">
        <x:v>exclusion_boundary</x:v>
      </x:c>
      <x:c r="O24" s="90" t="str">
        <x:v>Ask Barbara Keeley what keeps her awake at night and Labour’s shadow cabinet member for mental health and social care will tell you it’s the stories of people in “heartrending” situations whose care is being cut.</x:v>
      </x:c>
      <x:c r="P24" s="90" t="str">
        <x:v>The article is a national social-care funding interview. It could satisfy N2 in the national arm, but it contains no sampled Surrey L1-L4 link for this local-arm record.</x:v>
      </x:c>
      <x:c r="Q24" s="82" t="str">
        <x:v>AI-assisted development draft (researcher verification required)</x:v>
      </x:c>
      <x:c r="R24" s="82" t="str">
        <x:v>2026-07-24</x:v>
      </x:c>
      <x:c r="S24" s="83" t="str">
        <x:f>IF(B24&lt;&gt;"complete","",IF(OR(M24="",N24="",O24="",Q24="",R24=""),"MISSING REQUIRED FIELD","OK"))</x:f>
        <x:v>OK</x:v>
      </x:c>
    </x:row>
    <x:row r="25" ht="70" customHeight="1">
      <x:c r="A25" s="80" t="n">
        <x:v>22</x:v>
      </x:c>
      <x:c r="B25" s="81" t="str">
        <x:v>complete</x:v>
      </x:c>
      <x:c r="C25" s="81" t="str">
        <x:v>NEWS-guardian_api-6d0b3b8aedc2</x:v>
      </x:c>
      <x:c r="D25" s="81" t="str">
        <x:v>SCC-2017-05</x:v>
      </x:c>
      <x:c r="E25" s="81" t="str">
        <x:v>local</x:v>
      </x:c>
      <x:c r="F25" s="81" t="str">
        <x:v>guardian_api</x:v>
      </x:c>
      <x:c r="G25" s="88" t="str">
        <x:v>Millwall admit council scheme could force club to leave Lewisham</x:v>
      </x:c>
      <x:c r="H25" s="81" t="str">
        <x:v>2017-01-05</x:v>
      </x:c>
      <x:c r="I25" s="81" t="str"/>
      <x:c r="J25" s="88" t="str">
        <x:v>Surrey AND (council OR election)</x:v>
      </x:c>
      <x:c r="K25" s="81" t="str">
        <x:v>no</x:v>
      </x:c>
      <x:c r="L25" s="81" t="str">
        <x:v>yes</x:v>
      </x:c>
      <x:c r="M25" s="82" t="str">
        <x:v>exclude</x:v>
      </x:c>
      <x:c r="N25" s="82" t="str">
        <x:v>exclusion_boundary</x:v>
      </x:c>
      <x:c r="O25" s="90" t="str">
        <x:v>Millwall Football Club have admitted for the first time that they may be forced to leave their south London home and relocate to Kent should the seizure of their land go ahead.</x:v>
      </x:c>
      <x:c r="P25" s="90" t="str">
        <x:v>The compulsory-purchase dispute concerns Lewisham council and Millwall in south London. It is not a Surrey council decision and cannot satisfy local L3.</x:v>
      </x:c>
      <x:c r="Q25" s="82" t="str">
        <x:v>AI-assisted development draft (researcher verification required)</x:v>
      </x:c>
      <x:c r="R25" s="82" t="str">
        <x:v>2026-07-24</x:v>
      </x:c>
      <x:c r="S25" s="83" t="str">
        <x:f>IF(B25&lt;&gt;"complete","",IF(OR(M25="",N25="",O25="",Q25="",R25=""),"MISSING REQUIRED FIELD","OK"))</x:f>
        <x:v>OK</x:v>
      </x:c>
    </x:row>
    <x:row r="26" ht="70" customHeight="1">
      <x:c r="A26" s="80" t="n">
        <x:v>23</x:v>
      </x:c>
      <x:c r="B26" s="81" t="str">
        <x:v>complete</x:v>
      </x:c>
      <x:c r="C26" s="81" t="str">
        <x:v>NEWS-guardian_api-6d2d7efbb858</x:v>
      </x:c>
      <x:c r="D26" s="81" t="str">
        <x:v>SCC-2013-05</x:v>
      </x:c>
      <x:c r="E26" s="81" t="str">
        <x:v>local</x:v>
      </x:c>
      <x:c r="F26" s="81" t="str">
        <x:v>guardian_api</x:v>
      </x:c>
      <x:c r="G26" s="88" t="str">
        <x:v>Spirit of Margaret Thatcher invoked by Tory backers of gay marriage</x:v>
      </x:c>
      <x:c r="H26" s="81" t="str">
        <x:v>2013-02-04</x:v>
      </x:c>
      <x:c r="I26" s="81" t="str"/>
      <x:c r="J26" s="88" t="str">
        <x:v>Surrey AND (council OR election)</x:v>
      </x:c>
      <x:c r="K26" s="81" t="str">
        <x:v>no</x:v>
      </x:c>
      <x:c r="L26" s="81" t="str">
        <x:v>yes</x:v>
      </x:c>
      <x:c r="M26" s="82" t="str">
        <x:v>exclude</x:v>
      </x:c>
      <x:c r="N26" s="82" t="str">
        <x:v>exclusion_boundary</x:v>
      </x:c>
      <x:c r="O26" s="90" t="str">
        <x:v>Tory supporters of equal marriage are making an eleventh hour plea to fellow Conservative MPs to vote in favour of reform by invoking the record of Margaret Thatcher, who supported the legalisation of homosexuality in the 1960s.</x:v>
      </x:c>
      <x:c r="P26" s="90" t="str">
        <x:v>The article concerns national parliamentary politics and equal marriage. It could meet N1 in the national arm, but it contains no local Surrey linkage for this local-arm record.</x:v>
      </x:c>
      <x:c r="Q26" s="82" t="str">
        <x:v>AI-assisted development draft (researcher verification required)</x:v>
      </x:c>
      <x:c r="R26" s="82" t="str">
        <x:v>2026-07-24</x:v>
      </x:c>
      <x:c r="S26" s="83" t="str">
        <x:f>IF(B26&lt;&gt;"complete","",IF(OR(M26="",N26="",O26="",Q26="",R26=""),"MISSING REQUIRED FIELD","OK"))</x:f>
        <x:v>OK</x:v>
      </x:c>
    </x:row>
    <x:row r="27" ht="70" customHeight="1">
      <x:c r="A27" s="80" t="n">
        <x:v>24</x:v>
      </x:c>
      <x:c r="B27" s="81" t="str">
        <x:v>complete</x:v>
      </x:c>
      <x:c r="C27" s="81" t="str">
        <x:v>NEWS-guardian_api-775f95b2aee7</x:v>
      </x:c>
      <x:c r="D27" s="81" t="str">
        <x:v>ESWS-2026-05</x:v>
      </x:c>
      <x:c r="E27" s="81" t="str">
        <x:v>national</x:v>
      </x:c>
      <x:c r="F27" s="81" t="str">
        <x:v>guardian_api</x:v>
      </x:c>
      <x:c r="G27" s="88" t="str">
        <x:v>Tuesday briefing: What the BBC’s new crisis reveals about its failures – and future</x:v>
      </x:c>
      <x:c r="H27" s="81" t="str">
        <x:v>2025-11-11</x:v>
      </x:c>
      <x:c r="I27" s="81" t="str"/>
      <x:c r="J27" s="88" t="str">
        <x:v>"Reform UK"</x:v>
      </x:c>
      <x:c r="K27" s="81" t="str">
        <x:v>no</x:v>
      </x:c>
      <x:c r="L27" s="81" t="str">
        <x:v>no</x:v>
      </x:c>
      <x:c r="M27" s="82" t="str">
        <x:v>include</x:v>
      </x:c>
      <x:c r="N27" s="82" t="str">
        <x:v>N3</x:v>
      </x:c>
      <x:c r="O27" s="90" t="str">
        <x:v>Michael says this poses a question for the government: “With Reform UK continuing to rise in the polls, and political attacks on the BBC increasing, will the government decide it needs to defend and protect the corporation’s independence in this increasingly hostile environment?” The risk of Labour leaning into a populist anti-BBC sentiment is unlikely: it would be seismic, he tells me, for the government to scrap the licence fee.</x:v>
      </x:c>
      <x:c r="P27" s="90" t="str">
        <x:v>The full briefing explicitly links Reform UK's rise in the polls to political pressure on the BBC and government choices. This is direct Reform growth evidence under N3.</x:v>
      </x:c>
      <x:c r="Q27" s="82" t="str">
        <x:v>AI-assisted development draft (researcher verification required)</x:v>
      </x:c>
      <x:c r="R27" s="82" t="str">
        <x:v>2026-07-24</x:v>
      </x:c>
      <x:c r="S27" s="83" t="str">
        <x:f>IF(B27&lt;&gt;"complete","",IF(OR(M27="",N27="",O27="",Q27="",R27=""),"MISSING REQUIRED FIELD","OK"))</x:f>
        <x:v>OK</x:v>
      </x:c>
    </x:row>
    <x:row r="28" ht="70" customHeight="1">
      <x:c r="A28" s="80" t="n">
        <x:v>25</x:v>
      </x:c>
      <x:c r="B28" s="81" t="str">
        <x:v>complete</x:v>
      </x:c>
      <x:c r="C28" s="81" t="str">
        <x:v>NEWS-guardian_api-7cf057334d25</x:v>
      </x:c>
      <x:c r="D28" s="81" t="str">
        <x:v>SCC-2021-05</x:v>
      </x:c>
      <x:c r="E28" s="81" t="str">
        <x:v>national</x:v>
      </x:c>
      <x:c r="F28" s="81" t="str">
        <x:v>guardian_api</x:v>
      </x:c>
      <x:c r="G28" s="88" t="str">
        <x:v>When and how will I get a Covid vaccine in the UK?</x:v>
      </x:c>
      <x:c r="H28" s="81" t="str">
        <x:v>2021-01-18</x:v>
      </x:c>
      <x:c r="I28" s="81" t="str"/>
      <x:c r="J28" s="88" t="str">
        <x:v>NHS AND "public services"</x:v>
      </x:c>
      <x:c r="K28" s="81" t="str">
        <x:v>no</x:v>
      </x:c>
      <x:c r="L28" s="81" t="str">
        <x:v>no</x:v>
      </x:c>
      <x:c r="M28" s="82" t="str">
        <x:v>include</x:v>
      </x:c>
      <x:c r="N28" s="82" t="str">
        <x:v>N2</x:v>
      </x:c>
      <x:c r="O28" s="90" t="str">
        <x:v>When and how will I be able to get a Covid vaccine?</x:v>
      </x:c>
      <x:c r="P28" s="90" t="str">
        <x:v>The article explains the UK government's Covid vaccination programme, priority groups and NHS delivery. It directly satisfies the NHS/public-services branch of N2.</x:v>
      </x:c>
      <x:c r="Q28" s="82" t="str">
        <x:v>AI-assisted development draft (researcher verification required)</x:v>
      </x:c>
      <x:c r="R28" s="82" t="str">
        <x:v>2026-07-24</x:v>
      </x:c>
      <x:c r="S28" s="83" t="str">
        <x:f>IF(B28&lt;&gt;"complete","",IF(OR(M28="",N28="",O28="",Q28="",R28=""),"MISSING REQUIRED FIELD","OK"))</x:f>
        <x:v>OK</x:v>
      </x:c>
    </x:row>
    <x:row r="29" ht="70" customHeight="1">
      <x:c r="A29" s="80" t="n">
        <x:v>26</x:v>
      </x:c>
      <x:c r="B29" s="81" t="str">
        <x:v>complete</x:v>
      </x:c>
      <x:c r="C29" s="81" t="str">
        <x:v>NEWS-guardian_api-87c983cdc10f</x:v>
      </x:c>
      <x:c r="D29" s="81" t="str">
        <x:v>SCC-2021-05</x:v>
      </x:c>
      <x:c r="E29" s="81" t="str">
        <x:v>national</x:v>
      </x:c>
      <x:c r="F29" s="81" t="str">
        <x:v>guardian_api</x:v>
      </x:c>
      <x:c r="G29" s="88" t="str">
        <x:v>The going of Cummings seems not to be the triumph he expected</x:v>
      </x:c>
      <x:c r="H29" s="81" t="str">
        <x:v>2020-11-13</x:v>
      </x:c>
      <x:c r="I29" s="81" t="str"/>
      <x:c r="J29" s="88" t="str">
        <x:v>"the government" AND (performance OR record OR criticised)</x:v>
      </x:c>
      <x:c r="K29" s="81" t="str">
        <x:v>no</x:v>
      </x:c>
      <x:c r="L29" s="81" t="str">
        <x:v>no</x:v>
      </x:c>
      <x:c r="M29" s="82" t="str">
        <x:v>include</x:v>
      </x:c>
      <x:c r="N29" s="82" t="str">
        <x:v>N1</x:v>
      </x:c>
      <x:c r="O29" s="90" t="str">
        <x:v>Now somebody else will become Boris Johnson’s best known adviser.</x:v>
      </x:c>
      <x:c r="P29" s="90" t="str">
        <x:v>The article analyses Dominic Cummings's departure and Boris Johnson's Downing Street operation. This is substantive government-performance coverage under N1.</x:v>
      </x:c>
      <x:c r="Q29" s="82" t="str">
        <x:v>AI-assisted development draft (researcher verification required)</x:v>
      </x:c>
      <x:c r="R29" s="82" t="str">
        <x:v>2026-07-24</x:v>
      </x:c>
      <x:c r="S29" s="83" t="str">
        <x:f>IF(B29&lt;&gt;"complete","",IF(OR(M29="",N29="",O29="",Q29="",R29=""),"MISSING REQUIRED FIELD","OK"))</x:f>
        <x:v>OK</x:v>
      </x:c>
    </x:row>
    <x:row r="30" ht="70" customHeight="1">
      <x:c r="A30" s="80" t="n">
        <x:v>27</x:v>
      </x:c>
      <x:c r="B30" s="81" t="str">
        <x:v>complete</x:v>
      </x:c>
      <x:c r="C30" s="81" t="str">
        <x:v>NEWS-guardian_api-88e751d96451</x:v>
      </x:c>
      <x:c r="D30" s="81" t="str">
        <x:v>SCC-2017-05</x:v>
      </x:c>
      <x:c r="E30" s="81" t="str">
        <x:v>national</x:v>
      </x:c>
      <x:c r="F30" s="81" t="str">
        <x:v>guardian_api</x:v>
      </x:c>
      <x:c r="G30" s="88" t="str">
        <x:v>'I feel genuinely sad' – European postgrads discuss Brexit</x:v>
      </x:c>
      <x:c r="H30" s="81" t="str">
        <x:v>2016-11-09</x:v>
      </x:c>
      <x:c r="I30" s="81" t="str"/>
      <x:c r="J30" s="88" t="str">
        <x:v>"the government" AND (performance OR record OR criticised)</x:v>
      </x:c>
      <x:c r="K30" s="81" t="str">
        <x:v>no</x:v>
      </x:c>
      <x:c r="L30" s="81" t="str">
        <x:v>no</x:v>
      </x:c>
      <x:c r="M30" s="82" t="str">
        <x:v>include</x:v>
      </x:c>
      <x:c r="N30" s="82" t="str">
        <x:v>N1</x:v>
      </x:c>
      <x:c r="O30" s="90" t="str">
        <x:v>The impact of the Brexit vote on higher education is too early to call.</x:v>
      </x:c>
      <x:c r="P30" s="90" t="str">
        <x:v>The article examines the effect of the Brexit vote on UK universities and European students. Brexit and its domestic political consequences fall within UK national politics under N1.</x:v>
      </x:c>
      <x:c r="Q30" s="82" t="str">
        <x:v>AI-assisted development draft (researcher verification required)</x:v>
      </x:c>
      <x:c r="R30" s="82" t="str">
        <x:v>2026-07-24</x:v>
      </x:c>
      <x:c r="S30" s="83" t="str">
        <x:f>IF(B30&lt;&gt;"complete","",IF(OR(M30="",N30="",O30="",Q30="",R30=""),"MISSING REQUIRED FIELD","OK"))</x:f>
        <x:v>OK</x:v>
      </x:c>
    </x:row>
    <x:row r="31" ht="70" customHeight="1">
      <x:c r="A31" s="80" t="n">
        <x:v>28</x:v>
      </x:c>
      <x:c r="B31" s="81" t="str">
        <x:v>complete</x:v>
      </x:c>
      <x:c r="C31" s="81" t="str">
        <x:v>NEWS-guardian_api-8a849cd56bab</x:v>
      </x:c>
      <x:c r="D31" s="81" t="str">
        <x:v>SCC-2021-05</x:v>
      </x:c>
      <x:c r="E31" s="81" t="str">
        <x:v>national</x:v>
      </x:c>
      <x:c r="F31" s="81" t="str">
        <x:v>guardian_api</x:v>
      </x:c>
      <x:c r="G31" s="88" t="str">
        <x:v>Greece registers highest daily death toll – as it happened</x:v>
      </x:c>
      <x:c r="H31" s="81" t="str">
        <x:v>2020-11-08</x:v>
      </x:c>
      <x:c r="I31" s="81" t="str"/>
      <x:c r="J31" s="88" t="str">
        <x:v>"Reform UK"</x:v>
      </x:c>
      <x:c r="K31" s="81" t="str">
        <x:v>no</x:v>
      </x:c>
      <x:c r="L31" s="81" t="str">
        <x:v>no</x:v>
      </x:c>
      <x:c r="M31" s="82" t="str">
        <x:v>include</x:v>
      </x:c>
      <x:c r="N31" s="82" t="str">
        <x:v>N3</x:v>
      </x:c>
      <x:c r="O31" s="90" t="str">
        <x:v>Nigel Farage and his allies have relaunched their political party, encouraging people to walk past their local war memorial on Remembrance Sunday in a low-key anti-lockdown protest that marks a fresh attempt to restore its political relevance.</x:v>
      </x:c>
      <x:c r="P31" s="90" t="str">
        <x:v>The live blog contains a substantive UK entry on Nigel Farage relaunching his party and attempting to restore its political relevance. That entry supplies N3 new-party evidence even though the blog also covers international Covid news.</x:v>
      </x:c>
      <x:c r="Q31" s="82" t="str">
        <x:v>AI-assisted development draft (researcher verification required)</x:v>
      </x:c>
      <x:c r="R31" s="82" t="str">
        <x:v>2026-07-24</x:v>
      </x:c>
      <x:c r="S31" s="83" t="str">
        <x:f>IF(B31&lt;&gt;"complete","",IF(OR(M31="",N31="",O31="",Q31="",R31=""),"MISSING REQUIRED FIELD","OK"))</x:f>
        <x:v>OK</x:v>
      </x:c>
    </x:row>
    <x:row r="32" ht="70" customHeight="1">
      <x:c r="A32" s="80" t="n">
        <x:v>29</x:v>
      </x:c>
      <x:c r="B32" s="81" t="str">
        <x:v>complete</x:v>
      </x:c>
      <x:c r="C32" s="81" t="str">
        <x:v>NEWS-guardian_api-8c28af0f119c</x:v>
      </x:c>
      <x:c r="D32" s="81" t="str">
        <x:v>ESWS-2026-05</x:v>
      </x:c>
      <x:c r="E32" s="81" t="str">
        <x:v>local</x:v>
      </x:c>
      <x:c r="F32" s="81" t="str">
        <x:v>guardian_api</x:v>
      </x:c>
      <x:c r="G32" s="88" t="str">
        <x:v>Badenoch says teaching boys about misogyny shouldn’t be a priority because migrants more dangerous to women and girls – UK politics live</x:v>
      </x:c>
      <x:c r="H32" s="81" t="str">
        <x:v>2025-12-18</x:v>
      </x:c>
      <x:c r="I32" s="81" t="str"/>
      <x:c r="J32" s="88" t="str">
        <x:v>"Reform UK" AND Surrey</x:v>
      </x:c>
      <x:c r="K32" s="81" t="str">
        <x:v>no</x:v>
      </x:c>
      <x:c r="L32" s="81" t="str">
        <x:v>yes</x:v>
      </x:c>
      <x:c r="M32" s="82" t="str">
        <x:v>exclude</x:v>
      </x:c>
      <x:c r="N32" s="82" t="str">
        <x:v>exclusion_boundary</x:v>
      </x:c>
      <x:c r="O32" s="90" t="str">
        <x:v>Kemi Badenoch has been accused of weaponising violence against women and girls and using “dangerous” and “deeply inaccurate” claims in her response to the government’s plan to tackle the issue.</x:v>
      </x:c>
      <x:c r="P32" s="90" t="str">
        <x:v>The live blog is UK national party and government coverage. It contains no substantive sampled Surrey linkage and therefore fails the local-arm L1-L4 test.</x:v>
      </x:c>
      <x:c r="Q32" s="82" t="str">
        <x:v>AI-assisted development draft (researcher verification required)</x:v>
      </x:c>
      <x:c r="R32" s="82" t="str">
        <x:v>2026-07-24</x:v>
      </x:c>
      <x:c r="S32" s="83" t="str">
        <x:f>IF(B32&lt;&gt;"complete","",IF(OR(M32="",N32="",O32="",Q32="",R32=""),"MISSING REQUIRED FIELD","OK"))</x:f>
        <x:v>OK</x:v>
      </x:c>
    </x:row>
    <x:row r="33" ht="70" customHeight="1">
      <x:c r="A33" s="80" t="n">
        <x:v>30</x:v>
      </x:c>
      <x:c r="B33" s="81" t="str">
        <x:v>complete</x:v>
      </x:c>
      <x:c r="C33" s="81" t="str">
        <x:v>NEWS-guardian_api-8e547ee6efe6</x:v>
      </x:c>
      <x:c r="D33" s="81" t="str">
        <x:v>ESWS-2026-05</x:v>
      </x:c>
      <x:c r="E33" s="81" t="str">
        <x:v>local</x:v>
      </x:c>
      <x:c r="F33" s="81" t="str">
        <x:v>guardian_api</x:v>
      </x:c>
      <x:c r="G33" s="88" t="str">
        <x:v>UK politics: Farage insults female reporter as Braverman says Reform UK wants to scrap Equality Act – as it happened</x:v>
      </x:c>
      <x:c r="H33" s="81" t="str">
        <x:v>2026-02-17</x:v>
      </x:c>
      <x:c r="I33" s="81" t="str"/>
      <x:c r="J33" s="88" t="str">
        <x:v>"Reform UK" AND Surrey</x:v>
      </x:c>
      <x:c r="K33" s="81" t="str">
        <x:v>no</x:v>
      </x:c>
      <x:c r="L33" s="81" t="str">
        <x:v>yes</x:v>
      </x:c>
      <x:c r="M33" s="82" t="str">
        <x:v>exclude</x:v>
      </x:c>
      <x:c r="N33" s="82" t="str">
        <x:v>exclusion_boundary</x:v>
      </x:c>
      <x:c r="O33" s="90" t="str">
        <x:v>Nigel Farage has unveiled the first part of Reform UK’s frontbench team, saying it shows that the party is no longer reliant entirely on him – while also warning that he will not tolerate any dissent from his colleagues.</x:v>
      </x:c>
      <x:c r="P33" s="90" t="str">
        <x:v>The live blog contains strong national Reform UK coverage, but the record is local-arm. A historical passing reference to an unnamed Surrey councillor does not satisfy L1-L4.</x:v>
      </x:c>
      <x:c r="Q33" s="82" t="str">
        <x:v>AI-assisted development draft (researcher verification required)</x:v>
      </x:c>
      <x:c r="R33" s="82" t="str">
        <x:v>2026-07-24</x:v>
      </x:c>
      <x:c r="S33" s="83" t="str">
        <x:f>IF(B33&lt;&gt;"complete","",IF(OR(M33="",N33="",O33="",Q33="",R33=""),"MISSING REQUIRED FIELD","OK"))</x:f>
        <x:v>OK</x:v>
      </x:c>
    </x:row>
    <x:row r="34" ht="70" customHeight="1">
      <x:c r="A34" s="80" t="n">
        <x:v>31</x:v>
      </x:c>
      <x:c r="B34" s="81" t="str">
        <x:v>complete</x:v>
      </x:c>
      <x:c r="C34" s="81" t="str">
        <x:v>NEWS-guardian_api-8f21ed1fa60a</x:v>
      </x:c>
      <x:c r="D34" s="81" t="str">
        <x:v>SCC-2021-05</x:v>
      </x:c>
      <x:c r="E34" s="81" t="str">
        <x:v>national</x:v>
      </x:c>
      <x:c r="F34" s="81" t="str">
        <x:v>guardian_api</x:v>
      </x:c>
      <x:c r="G34" s="88" t="str">
        <x:v>Dominic Cummings to leave No 10 with immediate effect  – as it happened</x:v>
      </x:c>
      <x:c r="H34" s="81"/>
      <x:c r="I34" s="81" t="str"/>
      <x:c r="J34" s="88" t="str">
        <x:v>"local government" AND funding</x:v>
      </x:c>
      <x:c r="K34" s="81" t="str">
        <x:v>no</x:v>
      </x:c>
      <x:c r="L34" s="81" t="str">
        <x:v>no</x:v>
      </x:c>
      <x:c r="M34" s="82" t="str">
        <x:v>include</x:v>
      </x:c>
      <x:c r="N34" s="82" t="str">
        <x:v>N1</x:v>
      </x:c>
      <x:c r="O34" s="90" t="str">
        <x:v>BBC’s Newsnight’s take on the reported acrimony between Boris Johnson and his advisers.</x:v>
      </x:c>
      <x:c r="P34" s="90" t="str">
        <x:v>The live blog directly covers senior Downing Street advisers, Boris Johnson and the operation of government. This is N1 government-performance coverage.</x:v>
      </x:c>
      <x:c r="Q34" s="82" t="str">
        <x:v>AI-assisted development draft (researcher verification required)</x:v>
      </x:c>
      <x:c r="R34" s="82" t="str">
        <x:v>2026-07-24</x:v>
      </x:c>
      <x:c r="S34" s="83" t="str">
        <x:f>IF(B34&lt;&gt;"complete","",IF(OR(M34="",N34="",O34="",Q34="",R34=""),"MISSING REQUIRED FIELD","OK"))</x:f>
        <x:v>OK</x:v>
      </x:c>
    </x:row>
    <x:row r="35" ht="70" customHeight="1">
      <x:c r="A35" s="80" t="n">
        <x:v>32</x:v>
      </x:c>
      <x:c r="B35" s="81" t="str">
        <x:v>complete</x:v>
      </x:c>
      <x:c r="C35" s="81" t="str">
        <x:v>NEWS-guardian_api-8f8e97810c4d</x:v>
      </x:c>
      <x:c r="D35" s="81" t="str">
        <x:v>SCC-2021-05</x:v>
      </x:c>
      <x:c r="E35" s="81" t="str">
        <x:v>local</x:v>
      </x:c>
      <x:c r="F35" s="81" t="str">
        <x:v>guardian_api</x:v>
      </x:c>
      <x:c r="G35" s="88" t="str">
        <x:v>Covid rules out Boxing Day hunts and parades amid uncertain future</x:v>
      </x:c>
      <x:c r="H35" s="81" t="str">
        <x:v>2020-12-26</x:v>
      </x:c>
      <x:c r="I35" s="81" t="str"/>
      <x:c r="J35" s="88" t="str">
        <x:v>Surrey AND (council OR election)</x:v>
      </x:c>
      <x:c r="K35" s="81" t="str">
        <x:v>no</x:v>
      </x:c>
      <x:c r="L35" s="81" t="str">
        <x:v>yes</x:v>
      </x:c>
      <x:c r="M35" s="82" t="str">
        <x:v>exclude</x:v>
      </x:c>
      <x:c r="N35" s="82" t="str">
        <x:v>exclusion_boundary</x:v>
      </x:c>
      <x:c r="O35" s="90" t="str">
        <x:v>Traditional Boxing Day hunts across large parts of the UK have been cancelled due to coronavirus restrictions, with those going ahead elsewhere not parading through town centres prior to their yuletide meet this year for the first time in recent history.</x:v>
      </x:c>
      <x:c r="P35" s="90" t="str">
        <x:v>The article concerns hunting restrictions across Britain and a Peterborough council decision. It does not concern a Surrey council issue affecting a sampled area.</x:v>
      </x:c>
      <x:c r="Q35" s="82" t="str">
        <x:v>AI-assisted development draft (researcher verification required)</x:v>
      </x:c>
      <x:c r="R35" s="82" t="str">
        <x:v>2026-07-24</x:v>
      </x:c>
      <x:c r="S35" s="83" t="str">
        <x:f>IF(B35&lt;&gt;"complete","",IF(OR(M35="",N35="",O35="",Q35="",R35=""),"MISSING REQUIRED FIELD","OK"))</x:f>
        <x:v>OK</x:v>
      </x:c>
    </x:row>
    <x:row r="36" ht="70" customHeight="1">
      <x:c r="A36" s="80" t="n">
        <x:v>33</x:v>
      </x:c>
      <x:c r="B36" s="81" t="str">
        <x:v>complete</x:v>
      </x:c>
      <x:c r="C36" s="81" t="str">
        <x:v>NEWS-guardian_api-95d73413bd9b</x:v>
      </x:c>
      <x:c r="D36" s="81" t="str">
        <x:v>SCC-2017-05</x:v>
      </x:c>
      <x:c r="E36" s="81" t="str">
        <x:v>national</x:v>
      </x:c>
      <x:c r="F36" s="81" t="str">
        <x:v>guardian_api</x:v>
      </x:c>
      <x:c r="G36" s="88" t="str">
        <x:v>Farage: Boris Johnson comments to blame for Trump snubbing UK</x:v>
      </x:c>
      <x:c r="H36" s="81" t="str">
        <x:v>2016-11-11</x:v>
      </x:c>
      <x:c r="I36" s="81" t="str"/>
      <x:c r="J36" s="88" t="str">
        <x:v>UKIP</x:v>
      </x:c>
      <x:c r="K36" s="81" t="str">
        <x:v>no</x:v>
      </x:c>
      <x:c r="L36" s="81" t="str">
        <x:v>no</x:v>
      </x:c>
      <x:c r="M36" s="82" t="str">
        <x:v>include</x:v>
      </x:c>
      <x:c r="N36" s="82" t="str">
        <x:v>N1</x:v>
      </x:c>
      <x:c r="O36" s="90" t="str">
        <x:v>Nigel Farage has redoubled his efforts to become irritant-in-chief to British ministers in the wake of Donald Trump’s election by suggesting their earlier criticisms of the president-elect could have meant he delayed speaking to Theresa May.</x:v>
      </x:c>
      <x:c r="P36" s="90" t="str">
        <x:v>The article concerns Nigel Farage, Theresa May, Boris Johnson and UK relations with the incoming US administration. It clearly meets N1, but it is not primarily evidence of UKIP/Reform growth under N3.</x:v>
      </x:c>
      <x:c r="Q36" s="82" t="str">
        <x:v>AI-assisted development draft (researcher verification required)</x:v>
      </x:c>
      <x:c r="R36" s="82" t="str">
        <x:v>2026-07-24</x:v>
      </x:c>
      <x:c r="S36" s="83" t="str">
        <x:f>IF(B36&lt;&gt;"complete","",IF(OR(M36="",N36="",O36="",Q36="",R36=""),"MISSING REQUIRED FIELD","OK"))</x:f>
        <x:v>OK</x:v>
      </x:c>
    </x:row>
    <x:row r="37" ht="70" customHeight="1">
      <x:c r="A37" s="80" t="n">
        <x:v>34</x:v>
      </x:c>
      <x:c r="B37" s="81" t="str">
        <x:v>complete</x:v>
      </x:c>
      <x:c r="C37" s="81" t="str">
        <x:v>NEWS-guardian_api-97b3a5489c02</x:v>
      </x:c>
      <x:c r="D37" s="81" t="str">
        <x:v>SCC-2021-05</x:v>
      </x:c>
      <x:c r="E37" s="81" t="str">
        <x:v>national</x:v>
      </x:c>
      <x:c r="F37" s="81" t="str">
        <x:v>guardian_api</x:v>
      </x:c>
      <x:c r="G37" s="88" t="str">
        <x:v>UK Covid: surge testing ordered in two south London boroughs after South African variant found – as it happened</x:v>
      </x:c>
      <x:c r="H37" s="81" t="str">
        <x:v>2021-03-10</x:v>
      </x:c>
      <x:c r="I37" s="81" t="str"/>
      <x:c r="J37" s="88" t="str">
        <x:v>"cost of living"</x:v>
      </x:c>
      <x:c r="K37" s="81" t="str">
        <x:v>no</x:v>
      </x:c>
      <x:c r="L37" s="81" t="str">
        <x:v>no</x:v>
      </x:c>
      <x:c r="M37" s="82" t="str">
        <x:v>include</x:v>
      </x:c>
      <x:c r="N37" s="82" t="str">
        <x:v>N2</x:v>
      </x:c>
      <x:c r="O37" s="90" t="str">
        <x:v>(See 4.59pm.) Labour has written to Boris Johnson asking him to correct the record after Downing Street repeatedly refused to acknowledge that the prime minister was mistaken when he said the party had voted against an NHS pay deal.</x:v>
      </x:c>
      <x:c r="P37" s="90" t="str">
        <x:v>The live blog substantively discusses UK Covid testing, vaccination policy and an NHS pay dispute. These are NHS/public-service issues under N2.</x:v>
      </x:c>
      <x:c r="Q37" s="82" t="str">
        <x:v>AI-assisted development draft (researcher verification required)</x:v>
      </x:c>
      <x:c r="R37" s="82" t="str">
        <x:v>2026-07-24</x:v>
      </x:c>
      <x:c r="S37" s="83" t="str">
        <x:f>IF(B37&lt;&gt;"complete","",IF(OR(M37="",N37="",O37="",Q37="",R37=""),"MISSING REQUIRED FIELD","OK"))</x:f>
        <x:v>OK</x:v>
      </x:c>
    </x:row>
    <x:row r="38" ht="70" customHeight="1">
      <x:c r="A38" s="80" t="n">
        <x:v>35</x:v>
      </x:c>
      <x:c r="B38" s="81" t="str">
        <x:v>complete</x:v>
      </x:c>
      <x:c r="C38" s="81" t="str">
        <x:v>NEWS-guardian_api-9dea17fa1487</x:v>
      </x:c>
      <x:c r="D38" s="81" t="str">
        <x:v>SCC-2021-05</x:v>
      </x:c>
      <x:c r="E38" s="81" t="str">
        <x:v>local</x:v>
      </x:c>
      <x:c r="F38" s="81" t="str">
        <x:v>guardian_api</x:v>
      </x:c>
      <x:c r="G38" s="88" t="str">
        <x:v>England's new Covid rules: what is allowed in tiers 1, 2 and 3?</x:v>
      </x:c>
      <x:c r="H38" s="81"/>
      <x:c r="I38" s="81" t="str"/>
      <x:c r="J38" s="88" t="str">
        <x:v>Surrey AND (council OR election)</x:v>
      </x:c>
      <x:c r="K38" s="81" t="str">
        <x:v>no</x:v>
      </x:c>
      <x:c r="L38" s="81" t="str">
        <x:v>yes</x:v>
      </x:c>
      <x:c r="M38" s="82" t="str">
        <x:v>exclude</x:v>
      </x:c>
      <x:c r="N38" s="82" t="str">
        <x:v>exclusion_boundary</x:v>
      </x:c>
      <x:c r="O38" s="90" t="str">
        <x:v>Liverpool city region, York, North Yorkshire, Cambridgeshire, Norfolk, Essex, East Sussex, Surrey, Oxfordshire, Dorset and Devon are among other locations in tier 2.</x:v>
      </x:c>
      <x:c r="P38" s="90" t="str">
        <x:v>The article explains national Covid tier rules and lists Surrey among many tier-2 areas. It does not name a sampled division or town, concern a Surrey council decision, or provide Surrey-wide political coverage.</x:v>
      </x:c>
      <x:c r="Q38" s="82" t="str">
        <x:v>AI-assisted development draft (researcher verification required)</x:v>
      </x:c>
      <x:c r="R38" s="82" t="str">
        <x:v>2026-07-24</x:v>
      </x:c>
      <x:c r="S38" s="83" t="str">
        <x:f>IF(B38&lt;&gt;"complete","",IF(OR(M38="",N38="",O38="",Q38="",R38=""),"MISSING REQUIRED FIELD","OK"))</x:f>
        <x:v>OK</x:v>
      </x:c>
    </x:row>
    <x:row r="39" ht="70" customHeight="1">
      <x:c r="A39" s="80" t="n">
        <x:v>36</x:v>
      </x:c>
      <x:c r="B39" s="81" t="str">
        <x:v>complete</x:v>
      </x:c>
      <x:c r="C39" s="81" t="str">
        <x:v>NEWS-guardian_api-a3577fa415ba</x:v>
      </x:c>
      <x:c r="D39" s="81" t="str">
        <x:v>SCC-2021-05</x:v>
      </x:c>
      <x:c r="E39" s="81" t="str">
        <x:v>national</x:v>
      </x:c>
      <x:c r="F39" s="81" t="str">
        <x:v>guardian_api</x:v>
      </x:c>
      <x:c r="G39" s="88" t="str">
        <x:v>Israel to ban flights in and out of country</x:v>
      </x:c>
      <x:c r="H39" s="81" t="str">
        <x:v>2021-01-24</x:v>
      </x:c>
      <x:c r="I39" s="81" t="str"/>
      <x:c r="J39" s="88" t="str">
        <x:v>"local government" AND funding</x:v>
      </x:c>
      <x:c r="K39" s="81" t="str">
        <x:v>no</x:v>
      </x:c>
      <x:c r="L39" s="81" t="str">
        <x:v>no</x:v>
      </x:c>
      <x:c r="M39" s="82" t="str">
        <x:v>exclude</x:v>
      </x:c>
      <x:c r="N39" s="82" t="str">
        <x:v>exclusion_boundary</x:v>
      </x:c>
      <x:c r="O39" s="90" t="str">
        <x:v>We’ve launched a new blog at the link below – head there for the latest: Israel is set to ban passenger flights in attempt to prevent Covid variant imports, coming into effect from Monday 10pm for two weeks Greek health authorities have reported a jump in the number of cases of the coronavirus variant first spotted in the UK, with 32 infections detected.</x:v>
      </x:c>
      <x:c r="P39" s="90" t="str">
        <x:v>The article is principally an international Covid live blog led by Israel and Greece. UK figures and comments appear among many updates, but the article is not substantively focused on a specified UK national policy issue.</x:v>
      </x:c>
      <x:c r="Q39" s="82" t="str">
        <x:v>AI-assisted development draft (researcher verification required)</x:v>
      </x:c>
      <x:c r="R39" s="82" t="str">
        <x:v>2026-07-24</x:v>
      </x:c>
      <x:c r="S39" s="83" t="str">
        <x:f>IF(B39&lt;&gt;"complete","",IF(OR(M39="",N39="",O39="",Q39="",R39=""),"MISSING REQUIRED FIELD","OK"))</x:f>
        <x:v>OK</x:v>
      </x:c>
    </x:row>
    <x:row r="40" ht="70" customHeight="1">
      <x:c r="A40" s="80" t="n">
        <x:v>37</x:v>
      </x:c>
      <x:c r="B40" s="81" t="str">
        <x:v>complete</x:v>
      </x:c>
      <x:c r="C40" s="81" t="str">
        <x:v>NEWS-guardian_api-ab4a777c619a</x:v>
      </x:c>
      <x:c r="D40" s="81" t="str">
        <x:v>SCC-2017-05</x:v>
      </x:c>
      <x:c r="E40" s="81" t="str">
        <x:v>local</x:v>
      </x:c>
      <x:c r="F40" s="81" t="str">
        <x:v>guardian_api</x:v>
      </x:c>
      <x:c r="G40" s="88" t="str">
        <x:v>ID cards and wider issues of voter engagement | Letters</x:v>
      </x:c>
      <x:c r="H40" s="81" t="str">
        <x:v>2016-12-29</x:v>
      </x:c>
      <x:c r="I40" s="81" t="str"/>
      <x:c r="J40" s="88" t="str">
        <x:v>Surrey AND (council OR election)</x:v>
      </x:c>
      <x:c r="K40" s="81" t="str">
        <x:v>no</x:v>
      </x:c>
      <x:c r="L40" s="81" t="str">
        <x:v>yes</x:v>
      </x:c>
      <x:c r="M40" s="82" t="str">
        <x:v>exclude</x:v>
      </x:c>
      <x:c r="N40" s="82" t="str">
        <x:v>exclusion_boundary</x:v>
      </x:c>
      <x:c r="O40" s="90" t="str">
        <x:v>It is far too easy to impersonate someone at a polling station and claim their vote (Voters in local elections will be required to show ID in anti-fraud trials, 28 December).</x:v>
      </x:c>
      <x:c r="P40" s="90" t="str">
        <x:v>The letters concern national voter identification and electoral registration. They contain no sampled Surrey place or council issue for the local arm.</x:v>
      </x:c>
      <x:c r="Q40" s="82" t="str">
        <x:v>AI-assisted development draft (researcher verification required)</x:v>
      </x:c>
      <x:c r="R40" s="82" t="str">
        <x:v>2026-07-24</x:v>
      </x:c>
      <x:c r="S40" s="83" t="str">
        <x:f>IF(B40&lt;&gt;"complete","",IF(OR(M40="",N40="",O40="",Q40="",R40=""),"MISSING REQUIRED FIELD","OK"))</x:f>
        <x:v>OK</x:v>
      </x:c>
    </x:row>
    <x:row r="41" ht="70" customHeight="1">
      <x:c r="A41" s="80" t="n">
        <x:v>38</x:v>
      </x:c>
      <x:c r="B41" s="81" t="str">
        <x:v>complete</x:v>
      </x:c>
      <x:c r="C41" s="81" t="str">
        <x:v>NEWS-guardian_api-b48d01a86b76</x:v>
      </x:c>
      <x:c r="D41" s="81" t="str">
        <x:v>ESWS-2026-05</x:v>
      </x:c>
      <x:c r="E41" s="81" t="str">
        <x:v>local</x:v>
      </x:c>
      <x:c r="F41" s="81" t="str">
        <x:v>guardian_api</x:v>
      </x:c>
      <x:c r="G41" s="88" t="str">
        <x:v>Police to question Andrew’s former protection officers over his Epstein links</x:v>
      </x:c>
      <x:c r="H41" s="81" t="str">
        <x:v>2026-02-20</x:v>
      </x:c>
      <x:c r="I41" s="81" t="str"/>
      <x:c r="J41" s="88" t="str">
        <x:v>Surrey AND (council OR election)</x:v>
      </x:c>
      <x:c r="K41" s="81" t="str">
        <x:v>no</x:v>
      </x:c>
      <x:c r="L41" s="81" t="str">
        <x:v>yes</x:v>
      </x:c>
      <x:c r="M41" s="82" t="str">
        <x:v>exclude</x:v>
      </x:c>
      <x:c r="N41" s="82" t="str">
        <x:v>exclusion_boundary</x:v>
      </x:c>
      <x:c r="O41" s="90" t="str">
        <x:v>Surrey and Thames Valley police forces are considering claims of sexual wrongdoing by the former prince.</x:v>
      </x:c>
      <x:c r="P41" s="90" t="str">
        <x:v>The article concerns police investigations into Andrew Mountbatten-Windsor. Mention of Surrey Police is not a Surrey council decision or service and no effect on a sampled division is established.</x:v>
      </x:c>
      <x:c r="Q41" s="82" t="str">
        <x:v>AI-assisted development draft (researcher verification required)</x:v>
      </x:c>
      <x:c r="R41" s="82" t="str">
        <x:v>2026-07-24</x:v>
      </x:c>
      <x:c r="S41" s="83" t="str">
        <x:f>IF(B41&lt;&gt;"complete","",IF(OR(M41="",N41="",O41="",Q41="",R41=""),"MISSING REQUIRED FIELD","OK"))</x:f>
        <x:v>OK</x:v>
      </x:c>
    </x:row>
    <x:row r="42" ht="70" customHeight="1">
      <x:c r="A42" s="80" t="n">
        <x:v>39</x:v>
      </x:c>
      <x:c r="B42" s="81" t="str">
        <x:v>needs_adjudication</x:v>
      </x:c>
      <x:c r="C42" s="81" t="str">
        <x:v>NEWS-guardian_api-b9d210492f43</x:v>
      </x:c>
      <x:c r="D42" s="81" t="str">
        <x:v>SCC-2021-05</x:v>
      </x:c>
      <x:c r="E42" s="81" t="str">
        <x:v>local</x:v>
      </x:c>
      <x:c r="F42" s="81" t="str">
        <x:v>guardian_api</x:v>
      </x:c>
      <x:c r="G42" s="88" t="str">
        <x:v>Explainer: what are the new Covid rules in the UK from Boxing Day?</x:v>
      </x:c>
      <x:c r="H42" s="81" t="str">
        <x:v>2020-12-26</x:v>
      </x:c>
      <x:c r="I42" s="81" t="str"/>
      <x:c r="J42" s="88" t="str">
        <x:v>Surrey AND (council OR election)</x:v>
      </x:c>
      <x:c r="K42" s="81" t="str">
        <x:v>no</x:v>
      </x:c>
      <x:c r="L42" s="81" t="str">
        <x:v>yes</x:v>
      </x:c>
      <x:c r="M42" s="82" t="str">
        <x:v>needs_second_review</x:v>
      </x:c>
      <x:c r="N42" s="82" t="str">
        <x:v>L3</x:v>
      </x:c>
      <x:c r="O42" s="90" t="str">
        <x:v>Areas moving to tier 4 are Sussex, Oxfordshire, Suffolk, Norfolk and Cambridgeshire, parts of Essex not yet in the highest tier, Waverley in Surrey and Hampshire, with the exception of the New Forest.</x:v>
      </x:c>
      <x:c r="P42" s="90" t="str">
        <x:v>The article states that Waverley in Surrey moved to tier 4, which substantively affects areas containing sampled divisions. The current L3 wording, however, requires a Surrey council decision/service/issue; national Covid restrictions do not clearly satisfy that condition.</x:v>
      </x:c>
      <x:c r="Q42" s="82" t="str">
        <x:v>AI-assisted development draft (researcher verification required)</x:v>
      </x:c>
      <x:c r="R42" s="82" t="str">
        <x:v>2026-07-24</x:v>
      </x:c>
      <x:c r="S42" s="83" t="str">
        <x:f>IF(B42&lt;&gt;"complete","",IF(OR(M42="",N42="",O42="",Q42="",R42=""),"MISSING REQUIRED FIELD","OK"))</x:f>
      </x:c>
    </x:row>
    <x:row r="43" ht="70" customHeight="1">
      <x:c r="A43" s="80" t="n">
        <x:v>40</x:v>
      </x:c>
      <x:c r="B43" s="81" t="str">
        <x:v>complete</x:v>
      </x:c>
      <x:c r="C43" s="81" t="str">
        <x:v>NEWS-guardian_api-be5b11434a57</x:v>
      </x:c>
      <x:c r="D43" s="81" t="str">
        <x:v>SCC-2021-05</x:v>
      </x:c>
      <x:c r="E43" s="81" t="str">
        <x:v>national</x:v>
      </x:c>
      <x:c r="F43" s="81" t="str">
        <x:v>guardian_api</x:v>
      </x:c>
      <x:c r="G43" s="88" t="str">
        <x:v>Call to provide shelter for rough sleepers over UK winter lockdown</x:v>
      </x:c>
      <x:c r="H43" s="81" t="str">
        <x:v>2021-01-07</x:v>
      </x:c>
      <x:c r="I43" s="81" t="str"/>
      <x:c r="J43" s="88" t="str">
        <x:v>"local government" AND funding</x:v>
      </x:c>
      <x:c r="K43" s="81" t="str">
        <x:v>no</x:v>
      </x:c>
      <x:c r="L43" s="81" t="str">
        <x:v>no</x:v>
      </x:c>
      <x:c r="M43" s="82" t="str">
        <x:v>include</x:v>
      </x:c>
      <x:c r="N43" s="82" t="str">
        <x:v>N2</x:v>
      </x:c>
      <x:c r="O43" s="90" t="str">
        <x:v>Homelessness campaigners have demanded an urgent reboot of the government’s “Everybody In” scheme in England to provide safe shelter for thousands of rough sleepers as the UK enters another lockdown, with winter temperatures expected to plummet.</x:v>
      </x:c>
      <x:c r="P43" s="90" t="str">
        <x:v>The article concerns national homelessness policy and the duties of English local authorities during lockdown. This is a substantive public-service and local-government issue under N2.</x:v>
      </x:c>
      <x:c r="Q43" s="82" t="str">
        <x:v>AI-assisted development draft (researcher verification required)</x:v>
      </x:c>
      <x:c r="R43" s="82" t="str">
        <x:v>2026-07-24</x:v>
      </x:c>
      <x:c r="S43" s="83" t="str">
        <x:f>IF(B43&lt;&gt;"complete","",IF(OR(M43="",N43="",O43="",Q43="",R43=""),"MISSING REQUIRED FIELD","OK"))</x:f>
        <x:v>OK</x:v>
      </x:c>
    </x:row>
    <x:row r="44" ht="70" customHeight="1">
      <x:c r="A44" s="80" t="n">
        <x:v>41</x:v>
      </x:c>
      <x:c r="B44" s="81" t="str">
        <x:v>complete</x:v>
      </x:c>
      <x:c r="C44" s="81" t="str">
        <x:v>NEWS-guardian_api-c726af230abd</x:v>
      </x:c>
      <x:c r="D44" s="81" t="str">
        <x:v>SCC-2017-05</x:v>
      </x:c>
      <x:c r="E44" s="81" t="str">
        <x:v>national</x:v>
      </x:c>
      <x:c r="F44" s="81" t="str">
        <x:v>guardian_api</x:v>
      </x:c>
      <x:c r="G44" s="88" t="str">
        <x:v>Revealed: dozens of children still treated on adult psychiatric wards</x:v>
      </x:c>
      <x:c r="H44" s="81" t="str">
        <x:v>2016-11-13</x:v>
      </x:c>
      <x:c r="I44" s="81" t="str"/>
      <x:c r="J44" s="88" t="str">
        <x:v>"the government" AND (performance OR record OR criticised)</x:v>
      </x:c>
      <x:c r="K44" s="81" t="str">
        <x:v>no</x:v>
      </x:c>
      <x:c r="L44" s="81" t="str">
        <x:v>no</x:v>
      </x:c>
      <x:c r="M44" s="82" t="str">
        <x:v>include</x:v>
      </x:c>
      <x:c r="N44" s="82" t="str">
        <x:v>N2</x:v>
      </x:c>
      <x:c r="O44" s="90" t="str">
        <x:v>Dozens of children and young people with mental health problems are still being treated on wards containing adults with sometimes severe psychiatric problems despite ministers having supposedly outlawed the practice in 2010, the Guardian can reveal.</x:v>
      </x:c>
      <x:c r="P44" s="90" t="str">
        <x:v>The article concerns children being treated on adult NHS psychiatric wards and ministerial responsibility. It directly satisfies the NHS/public-services branch of N2.</x:v>
      </x:c>
      <x:c r="Q44" s="82" t="str">
        <x:v>AI-assisted development draft (researcher verification required)</x:v>
      </x:c>
      <x:c r="R44" s="82" t="str">
        <x:v>2026-07-24</x:v>
      </x:c>
      <x:c r="S44" s="83" t="str">
        <x:f>IF(B44&lt;&gt;"complete","",IF(OR(M44="",N44="",O44="",Q44="",R44=""),"MISSING REQUIRED FIELD","OK"))</x:f>
        <x:v>OK</x:v>
      </x:c>
    </x:row>
    <x:row r="45" ht="70" customHeight="1">
      <x:c r="A45" s="80" t="n">
        <x:v>42</x:v>
      </x:c>
      <x:c r="B45" s="81" t="str">
        <x:v>complete</x:v>
      </x:c>
      <x:c r="C45" s="81" t="str">
        <x:v>NEWS-guardian_api-cc8e272342e5</x:v>
      </x:c>
      <x:c r="D45" s="81" t="str">
        <x:v>ESWS-2026-05</x:v>
      </x:c>
      <x:c r="E45" s="81" t="str">
        <x:v>local</x:v>
      </x:c>
      <x:c r="F45" s="81" t="str">
        <x:v>guardian_api</x:v>
      </x:c>
      <x:c r="G45" s="88" t="str">
        <x:v>Enver Solomon restores our faith in Britain | Letters</x:v>
      </x:c>
      <x:c r="H45" s="81" t="str">
        <x:v>2025-12-01</x:v>
      </x:c>
      <x:c r="I45" s="81" t="str"/>
      <x:c r="J45" s="88" t="str">
        <x:v>Surrey AND (council OR election)</x:v>
      </x:c>
      <x:c r="K45" s="81" t="str">
        <x:v>no</x:v>
      </x:c>
      <x:c r="L45" s="81" t="str">
        <x:v>yes</x:v>
      </x:c>
      <x:c r="M45" s="82" t="str">
        <x:v>exclude</x:v>
      </x:c>
      <x:c r="N45" s="82" t="str">
        <x:v>exclusion_boundary</x:v>
      </x:c>
      <x:c r="O45" s="90" t="str">
        <x:v>A brilliant interview as always from Zoe Williams (‘We thought the Rwanda scheme was the worst of it’: Enver Solomon on leading – and leaving – the Refugee Council, 24 November).</x:v>
      </x:c>
      <x:c r="P45" s="90" t="str">
        <x:v>The letter comments on national governments and the Labour party but contains no sampled Surrey place, candidate or council issue. National political content cannot satisfy a local L-rule.</x:v>
      </x:c>
      <x:c r="Q45" s="82" t="str">
        <x:v>AI-assisted development draft (researcher verification required)</x:v>
      </x:c>
      <x:c r="R45" s="82" t="str">
        <x:v>2026-07-24</x:v>
      </x:c>
      <x:c r="S45" s="83" t="str">
        <x:f>IF(B45&lt;&gt;"complete","",IF(OR(M45="",N45="",O45="",Q45="",R45=""),"MISSING REQUIRED FIELD","OK"))</x:f>
        <x:v>OK</x:v>
      </x:c>
    </x:row>
    <x:row r="46" ht="70" customHeight="1">
      <x:c r="A46" s="80" t="n">
        <x:v>43</x:v>
      </x:c>
      <x:c r="B46" s="81" t="str">
        <x:v>complete</x:v>
      </x:c>
      <x:c r="C46" s="81" t="str">
        <x:v>NEWS-guardian_api-d12e8db585f0</x:v>
      </x:c>
      <x:c r="D46" s="81" t="str">
        <x:v>ESWS-2026-05</x:v>
      </x:c>
      <x:c r="E46" s="81" t="str">
        <x:v>local</x:v>
      </x:c>
      <x:c r="F46" s="81" t="str">
        <x:v>guardian_api</x:v>
      </x:c>
      <x:c r="G46" s="88" t="str">
        <x:v>Flawed council shake-up plans will not deliver savings | Letters</x:v>
      </x:c>
      <x:c r="H46" s="81" t="str">
        <x:v>2026-02-24</x:v>
      </x:c>
      <x:c r="I46" s="81" t="str"/>
      <x:c r="J46" s="88" t="str">
        <x:v>Surrey AND (council OR election)</x:v>
      </x:c>
      <x:c r="K46" s="81" t="str">
        <x:v>no</x:v>
      </x:c>
      <x:c r="L46" s="81" t="str">
        <x:v>yes</x:v>
      </x:c>
      <x:c r="M46" s="82" t="str">
        <x:v>exclude</x:v>
      </x:c>
      <x:c r="N46" s="82" t="str">
        <x:v>exclusion_boundary</x:v>
      </x:c>
      <x:c r="O46" s="90" t="str">
        <x:v>Polly Toynbee is correct to point out the foolishness of a massive local government reorganisation, given other priorities (Is No 10 seeking its own destruction?</x:v>
      </x:c>
      <x:c r="P46" s="90" t="str">
        <x:v>The letter discusses local-government reorganisation nationally. Guildford appears only in the writer's address, which is not substantive evidence of an effect on a sampled division.</x:v>
      </x:c>
      <x:c r="Q46" s="82" t="str">
        <x:v>AI-assisted development draft (researcher verification required)</x:v>
      </x:c>
      <x:c r="R46" s="82" t="str">
        <x:v>2026-07-24</x:v>
      </x:c>
      <x:c r="S46" s="83" t="str">
        <x:f>IF(B46&lt;&gt;"complete","",IF(OR(M46="",N46="",O46="",Q46="",R46=""),"MISSING REQUIRED FIELD","OK"))</x:f>
        <x:v>OK</x:v>
      </x:c>
    </x:row>
    <x:row r="47" ht="70" customHeight="1">
      <x:c r="A47" s="80" t="n">
        <x:v>44</x:v>
      </x:c>
      <x:c r="B47" s="81" t="str">
        <x:v>complete</x:v>
      </x:c>
      <x:c r="C47" s="81" t="str">
        <x:v>NEWS-guardian_api-de14fda465d9</x:v>
      </x:c>
      <x:c r="D47" s="81" t="str">
        <x:v>SCC-2021-05</x:v>
      </x:c>
      <x:c r="E47" s="81" t="str">
        <x:v>local</x:v>
      </x:c>
      <x:c r="F47" s="81" t="str">
        <x:v>guardian_api</x:v>
      </x:c>
      <x:c r="G47" s="88" t="str">
        <x:v>I've been unfairly targeted, says academic at heart of National Trust 'woke' row</x:v>
      </x:c>
      <x:c r="H47" s="81" t="str">
        <x:v>2020-12-20</x:v>
      </x:c>
      <x:c r="I47" s="81" t="str"/>
      <x:c r="J47" s="88" t="str">
        <x:v>Surrey AND (council OR election)</x:v>
      </x:c>
      <x:c r="K47" s="81" t="str">
        <x:v>no</x:v>
      </x:c>
      <x:c r="L47" s="81" t="str">
        <x:v>yes</x:v>
      </x:c>
      <x:c r="M47" s="82" t="str">
        <x:v>exclude</x:v>
      </x:c>
      <x:c r="N47" s="82" t="str">
        <x:v>exclusion_boundary</x:v>
      </x:c>
      <x:c r="O47" s="90" t="str">
        <x:v>Co-edited by Fowler, it highlighted that 93 trust properties, including Clandon Park in Surrey and Hare Hill in Cheshire, were linked to wealth from plantations and the slave trade, while others, such as Bateman’s, Rudyard Kipling’s home in Sussex, were important to understanding Britain’s colonial history.</x:v>
      </x:c>
      <x:c r="P47" s="90" t="str">
        <x:v>The article is about a national controversy over National Trust colonial-history research. Clandon Park is one item in a list of 93 properties and is not the substantive subject of the report.</x:v>
      </x:c>
      <x:c r="Q47" s="82" t="str">
        <x:v>AI-assisted development draft (researcher verification required)</x:v>
      </x:c>
      <x:c r="R47" s="82" t="str">
        <x:v>2026-07-24</x:v>
      </x:c>
      <x:c r="S47" s="83" t="str">
        <x:f>IF(B47&lt;&gt;"complete","",IF(OR(M47="",N47="",O47="",Q47="",R47=""),"MISSING REQUIRED FIELD","OK"))</x:f>
        <x:v>OK</x:v>
      </x:c>
    </x:row>
    <x:row r="48" ht="70" customHeight="1">
      <x:c r="A48" s="80" t="n">
        <x:v>45</x:v>
      </x:c>
      <x:c r="B48" s="81" t="str">
        <x:v>complete</x:v>
      </x:c>
      <x:c r="C48" s="81" t="str">
        <x:v>NEWS-guardian_api-e2001566d58a</x:v>
      </x:c>
      <x:c r="D48" s="81" t="str">
        <x:v>SCC-2013-05</x:v>
      </x:c>
      <x:c r="E48" s="81" t="str">
        <x:v>national</x:v>
      </x:c>
      <x:c r="F48" s="81" t="str">
        <x:v>guardian_api</x:v>
      </x:c>
      <x:c r="G48" s="88" t="str">
        <x:v>David Cameron arrives in Gulf on arms trade trip</x:v>
      </x:c>
      <x:c r="H48" s="81" t="str">
        <x:v>2012-11-05</x:v>
      </x:c>
      <x:c r="I48" s="81" t="str"/>
      <x:c r="J48" s="88" t="str">
        <x:v>UK "political scandal"</x:v>
      </x:c>
      <x:c r="K48" s="81" t="str">
        <x:v>no</x:v>
      </x:c>
      <x:c r="L48" s="81" t="str">
        <x:v>no</x:v>
      </x:c>
      <x:c r="M48" s="82" t="str">
        <x:v>include</x:v>
      </x:c>
      <x:c r="N48" s="82" t="str">
        <x:v>N1</x:v>
      </x:c>
      <x:c r="O48" s="90" t="str">
        <x:v>David Cameron has arrived in the Gulf at the beginning of a low-key arms trip aimed at persuading regional powers upset by Britain's response to the Arab spring to buy more than 100 Eurofighter Typhoon fighter jets.</x:v>
      </x:c>
      <x:c r="P48" s="90" t="str">
        <x:v>The article reports the prime minister's arms-trade diplomacy, government policy and human-rights criticism. This is substantive UK government-performance coverage under N1.</x:v>
      </x:c>
      <x:c r="Q48" s="82" t="str">
        <x:v>AI-assisted development draft (researcher verification required)</x:v>
      </x:c>
      <x:c r="R48" s="82" t="str">
        <x:v>2026-07-24</x:v>
      </x:c>
      <x:c r="S48" s="83" t="str">
        <x:f>IF(B48&lt;&gt;"complete","",IF(OR(M48="",N48="",O48="",Q48="",R48=""),"MISSING REQUIRED FIELD","OK"))</x:f>
        <x:v>OK</x:v>
      </x:c>
    </x:row>
    <x:row r="49" ht="70" customHeight="1">
      <x:c r="A49" s="80" t="n">
        <x:v>46</x:v>
      </x:c>
      <x:c r="B49" s="81" t="str">
        <x:v>complete</x:v>
      </x:c>
      <x:c r="C49" s="81" t="str">
        <x:v>NEWS-guardian_api-e9ed22adbdb1</x:v>
      </x:c>
      <x:c r="D49" s="81" t="str">
        <x:v>ESWS-2026-05</x:v>
      </x:c>
      <x:c r="E49" s="81" t="str">
        <x:v>local</x:v>
      </x:c>
      <x:c r="F49" s="81" t="str">
        <x:v>guardian_api</x:v>
      </x:c>
      <x:c r="G49" s="88" t="str">
        <x:v>A new year brings new battles for democracy and for Labour | Letters </x:v>
      </x:c>
      <x:c r="H49" s="81" t="str">
        <x:v>2026-01-01</x:v>
      </x:c>
      <x:c r="I49" s="81" t="str"/>
      <x:c r="J49" s="88" t="str">
        <x:v>"Reform UK" AND Surrey</x:v>
      </x:c>
      <x:c r="K49" s="81" t="str">
        <x:v>no</x:v>
      </x:c>
      <x:c r="L49" s="81" t="str">
        <x:v>yes</x:v>
      </x:c>
      <x:c r="M49" s="82" t="str">
        <x:v>exclude</x:v>
      </x:c>
      <x:c r="N49" s="82" t="str">
        <x:v>exclusion_boundary</x:v>
      </x:c>
      <x:c r="O49" s="90" t="str">
        <x:v>“Did 2025 mark the end of British parliamentary democracy as we know it?” asks the headline on Andy Beckett’s article (25 December).</x:v>
      </x:c>
      <x:c r="P49" s="90" t="str">
        <x:v>The letters discuss national democracy, Labour and proportional representation. Farnham appears only in a writer's address and does not create substantive L1 relevance.</x:v>
      </x:c>
      <x:c r="Q49" s="82" t="str">
        <x:v>AI-assisted development draft (researcher verification required)</x:v>
      </x:c>
      <x:c r="R49" s="82" t="str">
        <x:v>2026-07-24</x:v>
      </x:c>
      <x:c r="S49" s="83" t="str">
        <x:f>IF(B49&lt;&gt;"complete","",IF(OR(M49="",N49="",O49="",Q49="",R49=""),"MISSING REQUIRED FIELD","OK"))</x:f>
        <x:v>OK</x:v>
      </x:c>
    </x:row>
    <x:row r="50" ht="70" customHeight="1">
      <x:c r="A50" s="80" t="n">
        <x:v>47</x:v>
      </x:c>
      <x:c r="B50" s="81" t="str">
        <x:v>complete</x:v>
      </x:c>
      <x:c r="C50" s="81" t="str">
        <x:v>NEWS-guardian_api-f0e1fbfa261a</x:v>
      </x:c>
      <x:c r="D50" s="81" t="str">
        <x:v>SCC-2013-05</x:v>
      </x:c>
      <x:c r="E50" s="81" t="str">
        <x:v>local</x:v>
      </x:c>
      <x:c r="F50" s="81" t="str">
        <x:v>guardian_api</x:v>
      </x:c>
      <x:c r="G50" s="88" t="str">
        <x:v>Today in healthcare: Tuesday 22 January</x:v>
      </x:c>
      <x:c r="H50" s="81" t="str">
        <x:v>2013-01-22</x:v>
      </x:c>
      <x:c r="I50" s="81" t="str"/>
      <x:c r="J50" s="88" t="str">
        <x:v>Surrey AND (council OR election)</x:v>
      </x:c>
      <x:c r="K50" s="81" t="str">
        <x:v>no</x:v>
      </x:c>
      <x:c r="L50" s="81" t="str">
        <x:v>yes</x:v>
      </x:c>
      <x:c r="M50" s="82" t="str">
        <x:v>include</x:v>
      </x:c>
      <x:c r="N50" s="82" t="str">
        <x:v>L1</x:v>
      </x:c>
      <x:c r="O50" s="90" t="str">
        <x:v>Jessica Fuhl writes Assurances have been given that Epsom Hospital will not close under an NHS review covering Surrey and south west London, Epsom council has said.</x:v>
      </x:c>
      <x:c r="P50" s="90" t="str">
        <x:v>The healthcare live blog contains a substantive item about Epsom Hospital and an NHS review covering Surrey. The correct local basis is L1 place linkage; the NHS review is not itself a Surrey council decision under L3.</x:v>
      </x:c>
      <x:c r="Q50" s="82" t="str">
        <x:v>AI-assisted development draft (researcher verification required)</x:v>
      </x:c>
      <x:c r="R50" s="82" t="str">
        <x:v>2026-07-24</x:v>
      </x:c>
      <x:c r="S50" s="83" t="str">
        <x:f>IF(B50&lt;&gt;"complete","",IF(OR(M50="",N50="",O50="",Q50="",R50=""),"MISSING REQUIRED FIELD","OK"))</x:f>
        <x:v>OK</x:v>
      </x:c>
    </x:row>
    <x:row r="51" ht="70" customHeight="1">
      <x:c r="A51" s="84" t="n">
        <x:v>48</x:v>
      </x:c>
      <x:c r="B51" s="85" t="str">
        <x:v>complete</x:v>
      </x:c>
      <x:c r="C51" s="85" t="str">
        <x:v>NEWS-guardian_api-ffae95f17052</x:v>
      </x:c>
      <x:c r="D51" s="85" t="str">
        <x:v>ESWS-2026-05</x:v>
      </x:c>
      <x:c r="E51" s="85" t="str">
        <x:v>local</x:v>
      </x:c>
      <x:c r="F51" s="85" t="str">
        <x:v>guardian_api</x:v>
      </x:c>
      <x:c r="G51" s="89" t="str">
        <x:v>‘An abomination’: the Lancashire town kicking up a stink over reopened landfill</x:v>
      </x:c>
      <x:c r="H51" s="85" t="str">
        <x:v>2026-04-10</x:v>
      </x:c>
      <x:c r="I51" s="85" t="str"/>
      <x:c r="J51" s="89" t="str">
        <x:v>Surrey AND (council OR election)</x:v>
      </x:c>
      <x:c r="K51" s="85" t="str">
        <x:v>no</x:v>
      </x:c>
      <x:c r="L51" s="85" t="str">
        <x:v>yes</x:v>
      </x:c>
      <x:c r="M51" s="86" t="str">
        <x:v>exclude</x:v>
      </x:c>
      <x:c r="N51" s="86" t="str">
        <x:v>exclusion_boundary</x:v>
      </x:c>
      <x:c r="O51" s="91" t="str">
        <x:v>In the week that many families went to the coast for the fresh sea air or the tang of fish and chips, visitors to one Lancashire resort inhaled a rather more unpleasant aroma.</x:v>
      </x:c>
      <x:c r="P51" s="91" t="str">
        <x:v>The landfill story concerns Fleetwood in Lancashire and the Environment Agency. It has no Surrey council or sampled-area linkage.</x:v>
      </x:c>
      <x:c r="Q51" s="86" t="str">
        <x:v>AI-assisted development draft (researcher verification required)</x:v>
      </x:c>
      <x:c r="R51" s="86" t="str">
        <x:v>2026-07-24</x:v>
      </x:c>
      <x:c r="S51" s="87" t="str">
        <x:f>IF(B51&lt;&gt;"complete","",IF(OR(M51="",N51="",O51="",Q51="",R51=""),"MISSING REQUIRED FIELD","OK"))</x:f>
        <x:v>OK</x:v>
      </x:c>
    </x:row>
  </x:sheetData>
  <x:mergeCells>
    <x:mergeCell ref="A1:S1"/>
    <x:mergeCell ref="A2:S2"/>
  </x:mergeCells>
  <x:dataValidations count="3">
    <x:dataValidation type="list" sqref="B4:B51">
      <x:formula1>'Code Lists'!$A$2:$A$5</x:formula1>
    </x:dataValidation>
    <x:dataValidation type="list" sqref="M4:M51">
      <x:formula1>'Code Lists'!$B$2:$B$5</x:formula1>
    </x:dataValidation>
    <x:dataValidation type="list" sqref="N4:N51">
      <x:formula1>'Code Lists'!$C$2:$C$11</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30" hidden="0" customWidth="1"/>
    <x:col min="3" max="3" width="38" hidden="0" customWidth="1"/>
    <x:col min="4" max="4" width="12" hidden="0" customWidth="1"/>
    <x:col min="5" max="5" width="12" hidden="0" customWidth="1"/>
    <x:col min="6" max="6" width="16" hidden="0" customWidth="1"/>
    <x:col min="7" max="7" width="24" hidden="0" customWidth="1"/>
    <x:col min="8" max="8" width="22" hidden="0" customWidth="1"/>
    <x:col min="9" max="9" width="20" hidden="0" customWidth="1"/>
    <x:col min="10" max="10" width="55" hidden="0" customWidth="1"/>
    <x:col min="11" max="11" width="18" hidden="0" customWidth="1"/>
    <x:col min="12" max="12" width="20" hidden="0" customWidth="1"/>
    <x:col min="13" max="13" width="22" hidden="0" customWidth="1"/>
    <x:col min="14" max="14" width="24" hidden="0" customWidth="1"/>
    <x:col min="15" max="15" width="55" hidden="0" customWidth="1"/>
    <x:col min="16" max="16" width="25" hidden="0" customWidth="1"/>
    <x:col min="17" max="17" width="42" hidden="0" customWidth="1"/>
    <x:col min="18" max="18" width="22" hidden="0" customWidth="1"/>
    <x:col min="19" max="19" width="14" hidden="0" customWidth="1"/>
    <x:col min="20" max="20" width="10" hidden="0" customWidth="1"/>
  </x:cols>
  <x:sheetData>
    <x:row r="1" ht="24" customHeight="1">
      <x:c r="A1" s="94" t="str">
        <x:v>E5 local-arm geographic linkage review (28 hard disagreements)</x:v>
      </x:c>
      <x:c r="B1" s="94"/>
      <x:c r="C1" s="94"/>
      <x:c r="D1" s="94"/>
      <x:c r="E1" s="94"/>
      <x:c r="F1" s="94"/>
      <x:c r="G1" s="94"/>
      <x:c r="H1" s="94"/>
      <x:c r="I1" s="94"/>
      <x:c r="J1" s="94"/>
      <x:c r="K1" s="94"/>
      <x:c r="L1" s="94"/>
      <x:c r="M1" s="94"/>
      <x:c r="N1" s="94"/>
      <x:c r="O1" s="94"/>
      <x:c r="P1" s="94"/>
      <x:c r="Q1" s="94"/>
      <x:c r="R1" s="94"/>
      <x:c r="S1" s="94"/>
      <x:c r="T1" s="94"/>
    </x:row>
    <x:row r="2" ht="32" customHeight="1">
      <x:c r="A2" s="97" t="str">
        <x:v>Blue cells are deterministic search aids, not E5 decisions. Complete the yellow cells from the full article and record an exact supporting sentence before confirming L1-L4.</x:v>
      </x:c>
      <x:c r="B2" s="97"/>
      <x:c r="C2" s="97"/>
      <x:c r="D2" s="97"/>
      <x:c r="E2" s="97"/>
      <x:c r="F2" s="97"/>
      <x:c r="G2" s="97"/>
      <x:c r="H2" s="97"/>
      <x:c r="I2" s="97"/>
      <x:c r="J2" s="97"/>
      <x:c r="K2" s="97"/>
      <x:c r="L2" s="97"/>
      <x:c r="M2" s="97"/>
      <x:c r="N2" s="97"/>
      <x:c r="O2" s="97"/>
      <x:c r="P2" s="97"/>
      <x:c r="Q2" s="97"/>
      <x:c r="R2" s="97"/>
      <x:c r="S2" s="97"/>
      <x:c r="T2" s="97"/>
    </x:row>
    <x:row r="3" ht="32" customHeight="1">
      <x:c r="A3" s="97" t="str">
        <x:v>If the article names a place but the sampled division cannot be verified, choose unresolved_missing_context rather than inferring a ward.</x:v>
      </x:c>
      <x:c r="B3" s="97"/>
      <x:c r="C3" s="97"/>
      <x:c r="D3" s="97"/>
      <x:c r="E3" s="97"/>
      <x:c r="F3" s="97"/>
      <x:c r="G3" s="97"/>
      <x:c r="H3" s="97"/>
      <x:c r="I3" s="97"/>
      <x:c r="J3" s="97"/>
      <x:c r="K3" s="97"/>
      <x:c r="L3" s="97"/>
      <x:c r="M3" s="97"/>
      <x:c r="N3" s="97"/>
      <x:c r="O3" s="97"/>
      <x:c r="P3" s="97"/>
      <x:c r="Q3" s="97"/>
      <x:c r="R3" s="97"/>
      <x:c r="S3" s="97"/>
      <x:c r="T3" s="97"/>
    </x:row>
    <x:row r="5" ht="42" customHeight="1">
      <x:c r="A5" s="111" t="str">
        <x:v>review_index</x:v>
      </x:c>
      <x:c r="B5" s="111" t="str">
        <x:v>article_id</x:v>
      </x:c>
      <x:c r="C5" s="111" t="str">
        <x:v>headline</x:v>
      </x:c>
      <x:c r="D5" s="111" t="str">
        <x:v>human_decision</x:v>
      </x:c>
      <x:c r="E5" s="111" t="str">
        <x:v>llm_decision</x:v>
      </x:c>
      <x:c r="F5" s="111" t="str">
        <x:v>ward_context_missing</x:v>
      </x:c>
      <x:c r="G5" s="111" t="str">
        <x:v>exact_sample_division_candidates</x:v>
      </x:c>
      <x:c r="H5" s="111" t="str">
        <x:v>sample_place_candidates</x:v>
      </x:c>
      <x:c r="I5" s="111" t="str">
        <x:v>surrey_authority_signals</x:v>
      </x:c>
      <x:c r="J5" s="111" t="str">
        <x:v>automated_evidence_sentences</x:v>
      </x:c>
      <x:c r="K5" s="111" t="str">
        <x:v>linkage_review_status</x:v>
      </x:c>
      <x:c r="L5" s="111" t="str">
        <x:v>confirmed_link_type</x:v>
      </x:c>
      <x:c r="M5" s="111" t="str">
        <x:v>confirmed_linked_place</x:v>
      </x:c>
      <x:c r="N5" s="111" t="str">
        <x:v>confirmed_sampled_division</x:v>
      </x:c>
      <x:c r="O5" s="111" t="str">
        <x:v>confirmed_geographic_evidence</x:v>
      </x:c>
      <x:c r="P5" s="111" t="str">
        <x:v>linkage_decision</x:v>
      </x:c>
      <x:c r="Q5" s="111" t="str">
        <x:v>reviewer_notes</x:v>
      </x:c>
      <x:c r="R5" s="111" t="str">
        <x:v>reviewer_id</x:v>
      </x:c>
      <x:c r="S5" s="111" t="str">
        <x:v>reviewed_at</x:v>
      </x:c>
      <x:c r="T5" s="111" t="str">
        <x:v>qc_flag</x:v>
      </x:c>
    </x:row>
    <x:row r="6">
      <x:c r="A6" s="116" t="n">
        <x:v>1</x:v>
      </x:c>
      <x:c r="B6" s="116" t="str">
        <x:v>NEWS-bbc_surrey-26a6658188d3</x:v>
      </x:c>
      <x:c r="C6" s="116" t="str">
        <x:v>Meningitis kills Surrey University student</x:v>
      </x:c>
      <x:c r="D6" s="116" t="str">
        <x:v>include</x:v>
      </x:c>
      <x:c r="E6" s="116" t="str">
        <x:v>exclude</x:v>
      </x:c>
      <x:c r="F6" s="116" t="str">
        <x:v>yes</x:v>
      </x:c>
      <x:c r="G6" s="117" t="str"/>
      <x:c r="H6" s="117" t="str"/>
      <x:c r="I6" s="117" t="str"/>
      <x:c r="J6" s="117" t="str"/>
      <x:c r="K6" s="118" t="str">
        <x:v>needs_adjudication</x:v>
      </x:c>
      <x:c r="L6" s="118" t="str">
        <x:v>no_link</x:v>
      </x:c>
      <x:c r="M6" s="118" t="str">
        <x:v>University of Surrey</x:v>
      </x:c>
      <x:c r="N6" s="118" t="str"/>
      <x:c r="O6" s="118" t="str">
        <x:v>The first year student at the University of Surrey died while returning from a sports trip to Italy.</x:v>
      </x:c>
      <x:c r="P6" s="118" t="str">
        <x:v>unresolved_missing_context</x:v>
      </x:c>
      <x:c r="Q6" s="118" t="str">
        <x:v>The institution is Surrey-specific, but no sampled division is established by the stored query or article.</x:v>
      </x:c>
      <x:c r="R6" s="118" t="str">
        <x:v>AI-assisted development draft (researcher verification required)</x:v>
      </x:c>
      <x:c r="S6" s="118" t="str">
        <x:v>2026-07-24</x:v>
      </x:c>
      <x:c r="T6" s="119" t="str">
        <x:f>IF(K6&lt;&gt;"complete","",IF(OR(L6="",P6="",O6="",R6="",S6=""),"CHECK","OK"))</x:f>
      </x:c>
    </x:row>
    <x:row r="7">
      <x:c r="A7" s="116" t="n">
        <x:v>2</x:v>
      </x:c>
      <x:c r="B7" s="116" t="str">
        <x:v>NEWS-guardian_api-07bc83a03221</x:v>
      </x:c>
      <x:c r="C7" s="116" t="str">
        <x:v>Starmer tells Labour MPs he is ‘not prepared to walk away’ after call for him to resign – as it happened </x:v>
      </x:c>
      <x:c r="D7" s="116" t="str">
        <x:v>exclude</x:v>
      </x:c>
      <x:c r="E7" s="116" t="str">
        <x:v>include</x:v>
      </x:c>
      <x:c r="F7" s="116" t="str">
        <x:v>yes</x:v>
      </x:c>
      <x:c r="G7" s="117" t="str"/>
      <x:c r="H7" s="117" t="str"/>
      <x:c r="I7" s="117" t="str"/>
      <x:c r="J7" s="117" t="str"/>
      <x:c r="K7" s="118" t="str">
        <x:v>complete</x:v>
      </x:c>
      <x:c r="L7" s="118" t="str">
        <x:v>no_link</x:v>
      </x:c>
      <x:c r="M7" s="118" t="str"/>
      <x:c r="N7" s="118" t="str"/>
      <x:c r="O7" s="118" t="str">
        <x:v>Keir Starmer has faced down immediate calls for his resignation after receiving the full backing of his cabinet and delivering an impassioned appeal to the PLP this evening that appears to have steadied the government’s ship, at least for now.</x:v>
      </x:c>
      <x:c r="P7" s="118" t="str">
        <x:v>rejected_incidental</x:v>
      </x:c>
      <x:c r="Q7" s="118" t="str">
        <x:v>No sampled Surrey place, candidate, councillor, council issue or county-wide Surrey political coverage is identified.</x:v>
      </x:c>
      <x:c r="R7" s="118" t="str">
        <x:v>AI-assisted development draft (researcher verification required)</x:v>
      </x:c>
      <x:c r="S7" s="118" t="str">
        <x:v>2026-07-24</x:v>
      </x:c>
      <x:c r="T7" s="119" t="str">
        <x:f>IF(K7&lt;&gt;"complete","",IF(OR(L7="",P7="",O7="",R7="",S7=""),"CHECK","OK"))</x:f>
        <x:v>OK</x:v>
      </x:c>
    </x:row>
    <x:row r="8">
      <x:c r="A8" s="116" t="n">
        <x:v>3</x:v>
      </x:c>
      <x:c r="B8" s="116" t="str">
        <x:v>NEWS-guardian_api-0a2b7642ed1f</x:v>
      </x:c>
      <x:c r="C8" s="116" t="str">
        <x:v>Could Lib Dems become the biggest party in English local government?</x:v>
      </x:c>
      <x:c r="D8" s="116" t="str">
        <x:v>exclude</x:v>
      </x:c>
      <x:c r="E8" s="116" t="str">
        <x:v>include</x:v>
      </x:c>
      <x:c r="F8" s="116" t="str">
        <x:v>yes</x:v>
      </x:c>
      <x:c r="G8" s="117" t="str"/>
      <x:c r="H8" s="117" t="str"/>
      <x:c r="I8" s="117" t="str"/>
      <x:c r="J8" s="117" t="str"/>
      <x:c r="K8" s="118" t="str">
        <x:v>complete</x:v>
      </x:c>
      <x:c r="L8" s="118" t="str">
        <x:v>no_link</x:v>
      </x:c>
      <x:c r="M8" s="118" t="str"/>
      <x:c r="N8" s="118" t="str"/>
      <x:c r="O8" s="118" t="str">
        <x:v>It has been an election buildup dominated by the rise of Reform UK and the Greens, and the contrasting woes of Labour and the Tories.</x:v>
      </x:c>
      <x:c r="P8" s="118" t="str">
        <x:v>rejected_incidental</x:v>
      </x:c>
      <x:c r="Q8" s="118" t="str">
        <x:v>The article contains no substantive link to a sampled Surrey area.</x:v>
      </x:c>
      <x:c r="R8" s="118" t="str">
        <x:v>AI-assisted development draft (researcher verification required)</x:v>
      </x:c>
      <x:c r="S8" s="118" t="str">
        <x:v>2026-07-24</x:v>
      </x:c>
      <x:c r="T8" s="119" t="str">
        <x:f>IF(K8&lt;&gt;"complete","",IF(OR(L8="",P8="",O8="",R8="",S8=""),"CHECK","OK"))</x:f>
        <x:v>OK</x:v>
      </x:c>
    </x:row>
    <x:row r="9">
      <x:c r="A9" s="116" t="n">
        <x:v>4</x:v>
      </x:c>
      <x:c r="B9" s="116" t="str">
        <x:v>NEWS-guardian_api-0a8a98eec2fa</x:v>
      </x:c>
      <x:c r="C9" s="116" t="str">
        <x:v>Funding gap of £643m puts  special needs teaching at risk</x:v>
      </x:c>
      <x:c r="D9" s="116" t="str">
        <x:v>exclude</x:v>
      </x:c>
      <x:c r="E9" s="116" t="str">
        <x:v>include</x:v>
      </x:c>
      <x:c r="F9" s="116" t="str">
        <x:v>yes</x:v>
      </x:c>
      <x:c r="G9" s="117" t="str"/>
      <x:c r="H9" s="117" t="str"/>
      <x:c r="I9" s="117" t="str">
        <x:v>Surrey council</x:v>
      </x:c>
      <x:c r="J9" s="117" t="str">
        <x:v>Surrey council cabinet member Julie Iles said: “We are proposing changes that provide the right level of support, and help young people to gain independence where possible and transition to adulthood successfully.</x:v>
      </x:c>
      <x:c r="K9" s="118" t="str">
        <x:v>complete</x:v>
      </x:c>
      <x:c r="L9" s="118" t="str">
        <x:v>no_link</x:v>
      </x:c>
      <x:c r="M9" s="118" t="str">
        <x:v>Surrey council</x:v>
      </x:c>
      <x:c r="N9" s="118" t="str"/>
      <x:c r="O9" s="118" t="str">
        <x:v>Surrey council cabinet member Julie Iles said: “We are proposing changes that provide the right level of support, and help young people to gain independence where possible and transition to adulthood successfully.</x:v>
      </x:c>
      <x:c r="P9" s="118" t="str">
        <x:v>rejected_incidental</x:v>
      </x:c>
      <x:c r="Q9" s="118" t="str">
        <x:v>The Surrey quotation is incidental to an England-wide funding story and is not linked to a sampled division.</x:v>
      </x:c>
      <x:c r="R9" s="118" t="str">
        <x:v>AI-assisted development draft (researcher verification required)</x:v>
      </x:c>
      <x:c r="S9" s="118" t="str">
        <x:v>2026-07-24</x:v>
      </x:c>
      <x:c r="T9" s="119" t="str">
        <x:f>IF(K9&lt;&gt;"complete","",IF(OR(L9="",P9="",O9="",R9="",S9=""),"CHECK","OK"))</x:f>
        <x:v>OK</x:v>
      </x:c>
    </x:row>
    <x:row r="10">
      <x:c r="A10" s="116" t="n">
        <x:v>5</x:v>
      </x:c>
      <x:c r="B10" s="116" t="str">
        <x:v>NEWS-guardian_api-0e7b3e16141a</x:v>
      </x:c>
      <x:c r="C10" s="116" t="str">
        <x:v>UK politics: Government abandons plans to delay 30 local council elections in May – as it happened</x:v>
      </x:c>
      <x:c r="D10" s="116" t="str">
        <x:v>exclude</x:v>
      </x:c>
      <x:c r="E10" s="116" t="str">
        <x:v>include</x:v>
      </x:c>
      <x:c r="F10" s="116" t="str">
        <x:v>yes</x:v>
      </x:c>
      <x:c r="G10" s="117" t="str"/>
      <x:c r="H10" s="117" t="str"/>
      <x:c r="I10" s="117" t="str"/>
      <x:c r="J10" s="117" t="str"/>
      <x:c r="K10" s="118" t="str">
        <x:v>complete</x:v>
      </x:c>
      <x:c r="L10" s="118" t="str">
        <x:v>no_link</x:v>
      </x:c>
      <x:c r="M10" s="118" t="str"/>
      <x:c r="N10" s="118" t="str"/>
      <x:c r="O10" s="118" t="str">
        <x:v>Ministers have dropped plans to delay 30 local elections this May after receiving legal advice that doing so might be unlawful.</x:v>
      </x:c>
      <x:c r="P10" s="118" t="str">
        <x:v>rejected_incidental</x:v>
      </x:c>
      <x:c r="Q10" s="118" t="str">
        <x:v>No sampled Surrey linkage is stated.</x:v>
      </x:c>
      <x:c r="R10" s="118" t="str">
        <x:v>AI-assisted development draft (researcher verification required)</x:v>
      </x:c>
      <x:c r="S10" s="118" t="str">
        <x:v>2026-07-24</x:v>
      </x:c>
      <x:c r="T10" s="119" t="str">
        <x:f>IF(K10&lt;&gt;"complete","",IF(OR(L10="",P10="",O10="",R10="",S10=""),"CHECK","OK"))</x:f>
        <x:v>OK</x:v>
      </x:c>
    </x:row>
    <x:row r="11">
      <x:c r="A11" s="116" t="n">
        <x:v>7</x:v>
      </x:c>
      <x:c r="B11" s="116" t="str">
        <x:v>NEWS-guardian_api-1593f58b94d2</x:v>
      </x:c>
      <x:c r="C11" s="116" t="str">
        <x:v>Millwall stadium controversy intensifies as false funding claims revealed</x:v>
      </x:c>
      <x:c r="D11" s="116" t="str">
        <x:v>exclude</x:v>
      </x:c>
      <x:c r="E11" s="116" t="str">
        <x:v>include</x:v>
      </x:c>
      <x:c r="F11" s="116" t="str">
        <x:v>yes</x:v>
      </x:c>
      <x:c r="G11" s="117" t="str"/>
      <x:c r="H11" s="117" t="str"/>
      <x:c r="I11" s="117" t="str"/>
      <x:c r="J11" s="117" t="str"/>
      <x:c r="K11" s="118" t="str">
        <x:v>complete</x:v>
      </x:c>
      <x:c r="L11" s="118" t="str">
        <x:v>no_link</x:v>
      </x:c>
      <x:c r="M11" s="118" t="str">
        <x:v>Surrey Canal Sports Foundation</x:v>
      </x:c>
      <x:c r="N11" s="118" t="str"/>
      <x:c r="O11" s="118" t="str">
        <x:v>The sports foundation at the heart of the Millwall FC compulsory purchase battle has been making false claims of having a £2m funding agreement from Sport England during the ongoing CPO process, the Guardian can reveal.</x:v>
      </x:c>
      <x:c r="P11" s="118" t="str">
        <x:v>rejected_incidental</x:v>
      </x:c>
      <x:c r="Q11" s="118" t="str">
        <x:v>The word Surrey occurs inside an organisation/place name associated with Lewisham and does not denote the study area.</x:v>
      </x:c>
      <x:c r="R11" s="118" t="str">
        <x:v>AI-assisted development draft (researcher verification required)</x:v>
      </x:c>
      <x:c r="S11" s="118" t="str">
        <x:v>2026-07-24</x:v>
      </x:c>
      <x:c r="T11" s="119" t="str">
        <x:f>IF(K11&lt;&gt;"complete","",IF(OR(L11="",P11="",O11="",R11="",S11=""),"CHECK","OK"))</x:f>
        <x:v>OK</x:v>
      </x:c>
    </x:row>
    <x:row r="12">
      <x:c r="A12" s="116" t="n">
        <x:v>8</x:v>
      </x:c>
      <x:c r="B12" s="116" t="str">
        <x:v>NEWS-guardian_api-165b44f90fe0</x:v>
      </x:c>
      <x:c r="C12" s="116" t="str">
        <x:v>The Guardian view on the last PMQs: now the unnecessary election | Editorial</x:v>
      </x:c>
      <x:c r="D12" s="116" t="str">
        <x:v>exclude</x:v>
      </x:c>
      <x:c r="E12" s="116" t="str">
        <x:v>include</x:v>
      </x:c>
      <x:c r="F12" s="116" t="str">
        <x:v>yes</x:v>
      </x:c>
      <x:c r="G12" s="117" t="str"/>
      <x:c r="H12" s="117" t="str"/>
      <x:c r="I12" s="117" t="str">
        <x:v>Surrey council</x:v>
      </x:c>
      <x:c r="J12" s="117" t="str">
        <x:v>Mr Corbyn did it in February when he read out leaked text exchanges between the leader of Surrey council and officials in the Department for Communities and Local Government, exposing a sweetheart deal over spending to avert a local referendum.</x:v>
      </x:c>
      <x:c r="K12" s="118" t="str">
        <x:v>complete</x:v>
      </x:c>
      <x:c r="L12" s="118" t="str">
        <x:v>no_link</x:v>
      </x:c>
      <x:c r="M12" s="118" t="str">
        <x:v>Surrey council</x:v>
      </x:c>
      <x:c r="N12" s="118" t="str"/>
      <x:c r="O12" s="118" t="str">
        <x:v>Mr Corbyn did it in February when he read out leaked text exchanges between the leader of Surrey council and officials in the Department for Communities and Local Government, exposing a sweetheart deal over spending to avert a local referendum.</x:v>
      </x:c>
      <x:c r="P12" s="118" t="str">
        <x:v>rejected_incidental</x:v>
      </x:c>
      <x:c r="Q12" s="118" t="str">
        <x:v>The Surrey council reference is a historical example rather than the subject of the article.</x:v>
      </x:c>
      <x:c r="R12" s="118" t="str">
        <x:v>AI-assisted development draft (researcher verification required)</x:v>
      </x:c>
      <x:c r="S12" s="118" t="str">
        <x:v>2026-07-24</x:v>
      </x:c>
      <x:c r="T12" s="119" t="str">
        <x:f>IF(K12&lt;&gt;"complete","",IF(OR(L12="",P12="",O12="",R12="",S12=""),"CHECK","OK"))</x:f>
        <x:v>OK</x:v>
      </x:c>
    </x:row>
    <x:row r="13">
      <x:c r="A13" s="116" t="n">
        <x:v>11</x:v>
      </x:c>
      <x:c r="B13" s="116" t="str">
        <x:v>NEWS-guardian_api-299f68788499</x:v>
      </x:c>
      <x:c r="C13" s="116" t="str">
        <x:v>Norovirus: people with winter vomiting bug urged to stay at home</x:v>
      </x:c>
      <x:c r="D13" s="116" t="str">
        <x:v>include</x:v>
      </x:c>
      <x:c r="E13" s="116" t="str">
        <x:v>exclude</x:v>
      </x:c>
      <x:c r="F13" s="116" t="str">
        <x:v>yes</x:v>
      </x:c>
      <x:c r="G13" s="117" t="str"/>
      <x:c r="H13" s="117" t="str">
        <x:v>Redhill</x:v>
      </x:c>
      <x:c r="I13" s="117" t="str"/>
      <x:c r="J13" s="117" t="str">
        <x:v>In the south of England East Surrey hospital in Redhill stopped visits to 10 of its wards on Tuesday, a decision which had not been taken lightly, Surrey and Sussex Healthcare NHS trust said.</x:v>
      </x:c>
      <x:c r="K13" s="118" t="str">
        <x:v>complete</x:v>
      </x:c>
      <x:c r="L13" s="118" t="str">
        <x:v>L1_place</x:v>
      </x:c>
      <x:c r="M13" s="118" t="str">
        <x:v>Redhill</x:v>
      </x:c>
      <x:c r="N13" s="118" t="str">
        <x:v>Redhill East</x:v>
      </x:c>
      <x:c r="O13" s="118" t="str">
        <x:v>In the south of England East Surrey hospital in Redhill stopped visits to 10 of its wards on Tuesday, a decision which had not been taken lightly, Surrey and Sussex Healthcare NHS trust said.</x:v>
      </x:c>
      <x:c r="P13" s="118" t="str">
        <x:v>confirmed</x:v>
      </x:c>
      <x:c r="Q13" s="118" t="str">
        <x:v>Redhill is a town represented in the sampled Redhill East division; the hospital example is substantive rather than a byline or dateline.</x:v>
      </x:c>
      <x:c r="R13" s="118" t="str">
        <x:v>AI-assisted development draft (researcher verification required)</x:v>
      </x:c>
      <x:c r="S13" s="118" t="str">
        <x:v>2026-07-24</x:v>
      </x:c>
      <x:c r="T13" s="119" t="str">
        <x:f>IF(K13&lt;&gt;"complete","",IF(OR(L13="",P13="",O13="",R13="",S13=""),"CHECK","OK"))</x:f>
        <x:v>OK</x:v>
      </x:c>
    </x:row>
    <x:row r="14">
      <x:c r="A14" s="116" t="n">
        <x:v>13</x:v>
      </x:c>
      <x:c r="B14" s="116" t="str">
        <x:v>NEWS-guardian_api-3a9be3f68624</x:v>
      </x:c>
      <x:c r="C14" s="116" t="str">
        <x:v>‘I can’t sell mum’s retirement flat – and the charges are mounting up’</x:v>
      </x:c>
      <x:c r="D14" s="116" t="str">
        <x:v>include</x:v>
      </x:c>
      <x:c r="E14" s="116" t="str">
        <x:v>exclude</x:v>
      </x:c>
      <x:c r="F14" s="116" t="str">
        <x:v>yes</x:v>
      </x:c>
      <x:c r="G14" s="117" t="str"/>
      <x:c r="H14" s="117" t="str"/>
      <x:c r="I14" s="117" t="str"/>
      <x:c r="J14" s="117" t="str"/>
      <x:c r="K14" s="118" t="str">
        <x:v>complete</x:v>
      </x:c>
      <x:c r="L14" s="118" t="str">
        <x:v>no_link</x:v>
      </x:c>
      <x:c r="M14" s="118" t="str">
        <x:v>unspecified Surrey village</x:v>
      </x:c>
      <x:c r="N14" s="118" t="str"/>
      <x:c r="O14" s="118" t="str">
        <x:v>In April 2018, a woman told the newspaper how she was struggling to sell the retirement flat her late parents had bought in 1997 and that she had been forced to cut the price from £185,000 to £140,000, well below the £260,000 average for a normal flat in the same Surrey village.</x:v>
      </x:c>
      <x:c r="P14" s="118" t="str">
        <x:v>rejected_incidental</x:v>
      </x:c>
      <x:c r="Q14" s="118" t="str">
        <x:v>The Surrey reference belongs to a separate illustrative case and provides no sampled-division linkage.</x:v>
      </x:c>
      <x:c r="R14" s="118" t="str">
        <x:v>AI-assisted development draft (researcher verification required)</x:v>
      </x:c>
      <x:c r="S14" s="118" t="str">
        <x:v>2026-07-24</x:v>
      </x:c>
      <x:c r="T14" s="119" t="str">
        <x:f>IF(K14&lt;&gt;"complete","",IF(OR(L14="",P14="",O14="",R14="",S14=""),"CHECK","OK"))</x:f>
        <x:v>OK</x:v>
      </x:c>
    </x:row>
    <x:row r="15">
      <x:c r="A15" s="116" t="n">
        <x:v>14</x:v>
      </x:c>
      <x:c r="B15" s="116" t="str">
        <x:v>NEWS-guardian_api-4b66c98ae734</x:v>
      </x:c>
      <x:c r="C15" s="116" t="str">
        <x:v>‘We’ve seen it decimate areas’: Somerset town’s traders oppose parking charges</x:v>
      </x:c>
      <x:c r="D15" s="116" t="str">
        <x:v>exclude</x:v>
      </x:c>
      <x:c r="E15" s="116" t="str">
        <x:v>include</x:v>
      </x:c>
      <x:c r="F15" s="116" t="str">
        <x:v>yes</x:v>
      </x:c>
      <x:c r="G15" s="117" t="str"/>
      <x:c r="H15" s="117" t="str"/>
      <x:c r="I15" s="117" t="str"/>
      <x:c r="J15" s="117" t="str"/>
      <x:c r="K15" s="118" t="str">
        <x:v>complete</x:v>
      </x:c>
      <x:c r="L15" s="118" t="str">
        <x:v>no_link</x:v>
      </x:c>
      <x:c r="M15" s="118" t="str">
        <x:v>Clevedon</x:v>
      </x:c>
      <x:c r="N15" s="118" t="str"/>
      <x:c r="O15" s="118" t="str">
        <x:v>The shop windows are decked out in their festive finery, there are carols on the stereos and the tills are ringing.</x:v>
      </x:c>
      <x:c r="P15" s="118" t="str">
        <x:v>rejected_incidental</x:v>
      </x:c>
      <x:c r="Q15" s="118" t="str">
        <x:v>The affected location and authority are in North Somerset, not Surrey.</x:v>
      </x:c>
      <x:c r="R15" s="118" t="str">
        <x:v>AI-assisted development draft (researcher verification required)</x:v>
      </x:c>
      <x:c r="S15" s="118" t="str">
        <x:v>2026-07-24</x:v>
      </x:c>
      <x:c r="T15" s="119" t="str">
        <x:f>IF(K15&lt;&gt;"complete","",IF(OR(L15="",P15="",O15="",R15="",S15=""),"CHECK","OK"))</x:f>
        <x:v>OK</x:v>
      </x:c>
    </x:row>
    <x:row r="16">
      <x:c r="A16" s="116" t="n">
        <x:v>19</x:v>
      </x:c>
      <x:c r="B16" s="116" t="str">
        <x:v>NEWS-guardian_api-649bfee8381e</x:v>
      </x:c>
      <x:c r="C16" s="116" t="str">
        <x:v>No 10 to delay four England mayoral elections amid accusations of ‘cancelling democracy’</x:v>
      </x:c>
      <x:c r="D16" s="116" t="str">
        <x:v>exclude</x:v>
      </x:c>
      <x:c r="E16" s="116" t="str">
        <x:v>include</x:v>
      </x:c>
      <x:c r="F16" s="116" t="str">
        <x:v>yes</x:v>
      </x:c>
      <x:c r="G16" s="117" t="str"/>
      <x:c r="H16" s="117" t="str"/>
      <x:c r="I16" s="117" t="str"/>
      <x:c r="J16" s="117" t="str"/>
      <x:c r="K16" s="118" t="str">
        <x:v>complete</x:v>
      </x:c>
      <x:c r="L16" s="118" t="str">
        <x:v>no_link</x:v>
      </x:c>
      <x:c r="M16" s="118" t="str">
        <x:v>Essex; Norfolk; Suffolk; Hampshire; Sussex</x:v>
      </x:c>
      <x:c r="N16" s="118" t="str"/>
      <x:c r="O16" s="118" t="str">
        <x:v>Ministers are to postpone elections for new mayors in four parts of England, prompting accusations from opposition parties that Downing Street is “cancelling democracy”.</x:v>
      </x:c>
      <x:c r="P16" s="118" t="str">
        <x:v>rejected_incidental</x:v>
      </x:c>
      <x:c r="Q16" s="118" t="str">
        <x:v>None of the named mayoralties establishes a sampled Surrey link.</x:v>
      </x:c>
      <x:c r="R16" s="118" t="str">
        <x:v>AI-assisted development draft (researcher verification required)</x:v>
      </x:c>
      <x:c r="S16" s="118" t="str">
        <x:v>2026-07-24</x:v>
      </x:c>
      <x:c r="T16" s="119" t="str">
        <x:f>IF(K16&lt;&gt;"complete","",IF(OR(L16="",P16="",O16="",R16="",S16=""),"CHECK","OK"))</x:f>
        <x:v>OK</x:v>
      </x:c>
    </x:row>
    <x:row r="17">
      <x:c r="A17" s="116" t="n">
        <x:v>20</x:v>
      </x:c>
      <x:c r="B17" s="116" t="str">
        <x:v>NEWS-guardian_api-64ea38ced8bd</x:v>
      </x:c>
      <x:c r="C17" s="116" t="str">
        <x:v>'After assembly, I cried': Surrey school grapples with race issues</x:v>
      </x:c>
      <x:c r="D17" s="116" t="str">
        <x:v>include</x:v>
      </x:c>
      <x:c r="E17" s="116" t="str">
        <x:v>exclude</x:v>
      </x:c>
      <x:c r="F17" s="116" t="str">
        <x:v>yes</x:v>
      </x:c>
      <x:c r="G17" s="117" t="str"/>
      <x:c r="H17" s="117" t="str"/>
      <x:c r="I17" s="117" t="str"/>
      <x:c r="J17" s="117" t="str"/>
      <x:c r="K17" s="118" t="str">
        <x:v>complete</x:v>
      </x:c>
      <x:c r="L17" s="118" t="str">
        <x:v>no_link</x:v>
      </x:c>
      <x:c r="M17" s="118" t="str">
        <x:v>Nonsuch High School</x:v>
      </x:c>
      <x:c r="N17" s="118" t="str"/>
      <x:c r="O17" s="118" t="str">
        <x:v>The speech was made in the playground of Nonsuch high school for girls in Surrey.</x:v>
      </x:c>
      <x:c r="P17" s="118" t="str">
        <x:v>rejected_incidental</x:v>
      </x:c>
      <x:c r="Q17" s="118" t="str">
        <x:v>The project data identifies a separate Nonsuch area, but Nonsuch is not one of the 17 sampled divisions.</x:v>
      </x:c>
      <x:c r="R17" s="118" t="str">
        <x:v>AI-assisted development draft (researcher verification required)</x:v>
      </x:c>
      <x:c r="S17" s="118" t="str">
        <x:v>2026-07-24</x:v>
      </x:c>
      <x:c r="T17" s="119" t="str">
        <x:f>IF(K17&lt;&gt;"complete","",IF(OR(L17="",P17="",O17="",R17="",S17=""),"CHECK","OK"))</x:f>
        <x:v>OK</x:v>
      </x:c>
    </x:row>
    <x:row r="18">
      <x:c r="A18" s="116" t="n">
        <x:v>21</x:v>
      </x:c>
      <x:c r="B18" s="116" t="str">
        <x:v>NEWS-guardian_api-6549611cf8a4</x:v>
      </x:c>
      <x:c r="C18" s="116" t="str">
        <x:v>‘The government must unlock the money. Because the care crisis is now’   | Hélène Mulholland</x:v>
      </x:c>
      <x:c r="D18" s="116" t="str">
        <x:v>exclude</x:v>
      </x:c>
      <x:c r="E18" s="116" t="str">
        <x:v>include</x:v>
      </x:c>
      <x:c r="F18" s="116" t="str">
        <x:v>yes</x:v>
      </x:c>
      <x:c r="G18" s="117" t="str"/>
      <x:c r="H18" s="117" t="str"/>
      <x:c r="I18" s="117" t="str"/>
      <x:c r="J18" s="117" t="str"/>
      <x:c r="K18" s="118" t="str">
        <x:v>complete</x:v>
      </x:c>
      <x:c r="L18" s="118" t="str">
        <x:v>no_link</x:v>
      </x:c>
      <x:c r="M18" s="118" t="str"/>
      <x:c r="N18" s="118" t="str"/>
      <x:c r="O18" s="118" t="str">
        <x:v>Ask Barbara Keeley what keeps her awake at night and Labour’s shadow cabinet member for mental health and social care will tell you it’s the stories of people in “heartrending” situations whose care is being cut.</x:v>
      </x:c>
      <x:c r="P18" s="118" t="str">
        <x:v>rejected_incidental</x:v>
      </x:c>
      <x:c r="Q18" s="118" t="str">
        <x:v>No sampled Surrey location or Surrey-specific council effect is identified.</x:v>
      </x:c>
      <x:c r="R18" s="118" t="str">
        <x:v>AI-assisted development draft (researcher verification required)</x:v>
      </x:c>
      <x:c r="S18" s="118" t="str">
        <x:v>2026-07-24</x:v>
      </x:c>
      <x:c r="T18" s="119" t="str">
        <x:f>IF(K18&lt;&gt;"complete","",IF(OR(L18="",P18="",O18="",R18="",S18=""),"CHECK","OK"))</x:f>
        <x:v>OK</x:v>
      </x:c>
    </x:row>
    <x:row r="19">
      <x:c r="A19" s="116" t="n">
        <x:v>22</x:v>
      </x:c>
      <x:c r="B19" s="116" t="str">
        <x:v>NEWS-guardian_api-6d0b3b8aedc2</x:v>
      </x:c>
      <x:c r="C19" s="116" t="str">
        <x:v>Millwall admit council scheme could force club to leave Lewisham</x:v>
      </x:c>
      <x:c r="D19" s="116" t="str">
        <x:v>exclude</x:v>
      </x:c>
      <x:c r="E19" s="116" t="str">
        <x:v>include</x:v>
      </x:c>
      <x:c r="F19" s="116" t="str">
        <x:v>yes</x:v>
      </x:c>
      <x:c r="G19" s="117" t="str"/>
      <x:c r="H19" s="117" t="str"/>
      <x:c r="I19" s="117" t="str"/>
      <x:c r="J19" s="117" t="str"/>
      <x:c r="K19" s="118" t="str">
        <x:v>complete</x:v>
      </x:c>
      <x:c r="L19" s="118" t="str">
        <x:v>no_link</x:v>
      </x:c>
      <x:c r="M19" s="118" t="str">
        <x:v>Lewisham</x:v>
      </x:c>
      <x:c r="N19" s="118" t="str"/>
      <x:c r="O19" s="118" t="str">
        <x:v>Millwall Football Club have admitted for the first time that they may be forced to leave their south London home and relocate to Kent should the seizure of their land go ahead.</x:v>
      </x:c>
      <x:c r="P19" s="118" t="str">
        <x:v>rejected_incidental</x:v>
      </x:c>
      <x:c r="Q19" s="118" t="str">
        <x:v>The relevant council and affected area are outside Surrey.</x:v>
      </x:c>
      <x:c r="R19" s="118" t="str">
        <x:v>AI-assisted development draft (researcher verification required)</x:v>
      </x:c>
      <x:c r="S19" s="118" t="str">
        <x:v>2026-07-24</x:v>
      </x:c>
      <x:c r="T19" s="119" t="str">
        <x:f>IF(K19&lt;&gt;"complete","",IF(OR(L19="",P19="",O19="",R19="",S19=""),"CHECK","OK"))</x:f>
        <x:v>OK</x:v>
      </x:c>
    </x:row>
    <x:row r="20">
      <x:c r="A20" s="116" t="n">
        <x:v>23</x:v>
      </x:c>
      <x:c r="B20" s="116" t="str">
        <x:v>NEWS-guardian_api-6d2d7efbb858</x:v>
      </x:c>
      <x:c r="C20" s="116" t="str">
        <x:v>Spirit of Margaret Thatcher invoked by Tory backers of gay marriage</x:v>
      </x:c>
      <x:c r="D20" s="116" t="str">
        <x:v>exclude</x:v>
      </x:c>
      <x:c r="E20" s="116" t="str">
        <x:v>include</x:v>
      </x:c>
      <x:c r="F20" s="116" t="str">
        <x:v>yes</x:v>
      </x:c>
      <x:c r="G20" s="117" t="str"/>
      <x:c r="H20" s="117" t="str"/>
      <x:c r="I20" s="117" t="str"/>
      <x:c r="J20" s="117" t="str"/>
      <x:c r="K20" s="118" t="str">
        <x:v>complete</x:v>
      </x:c>
      <x:c r="L20" s="118" t="str">
        <x:v>no_link</x:v>
      </x:c>
      <x:c r="M20" s="118" t="str"/>
      <x:c r="N20" s="118" t="str"/>
      <x:c r="O20" s="118" t="str">
        <x:v>Tory supporters of equal marriage are making an eleventh hour plea to fellow Conservative MPs to vote in favour of reform by invoking the record of Margaret Thatcher, who supported the legalisation of homosexuality in the 1960s.</x:v>
      </x:c>
      <x:c r="P20" s="118" t="str">
        <x:v>rejected_incidental</x:v>
      </x:c>
      <x:c r="Q20" s="118" t="str">
        <x:v>No sampled Surrey link is present.</x:v>
      </x:c>
      <x:c r="R20" s="118" t="str">
        <x:v>AI-assisted development draft (researcher verification required)</x:v>
      </x:c>
      <x:c r="S20" s="118" t="str">
        <x:v>2026-07-24</x:v>
      </x:c>
      <x:c r="T20" s="119" t="str">
        <x:f>IF(K20&lt;&gt;"complete","",IF(OR(L20="",P20="",O20="",R20="",S20=""),"CHECK","OK"))</x:f>
        <x:v>OK</x:v>
      </x:c>
    </x:row>
    <x:row r="21">
      <x:c r="A21" s="116" t="n">
        <x:v>29</x:v>
      </x:c>
      <x:c r="B21" s="116" t="str">
        <x:v>NEWS-guardian_api-8c28af0f119c</x:v>
      </x:c>
      <x:c r="C21" s="116" t="str">
        <x:v>Badenoch says teaching boys about misogyny shouldn’t be a priority because migrants more dangerous to women and girls – UK politics live</x:v>
      </x:c>
      <x:c r="D21" s="116" t="str">
        <x:v>exclude</x:v>
      </x:c>
      <x:c r="E21" s="116" t="str">
        <x:v>include</x:v>
      </x:c>
      <x:c r="F21" s="116" t="str">
        <x:v>yes</x:v>
      </x:c>
      <x:c r="G21" s="117" t="str"/>
      <x:c r="H21" s="117" t="str"/>
      <x:c r="I21" s="117" t="str"/>
      <x:c r="J21" s="117" t="str"/>
      <x:c r="K21" s="118" t="str">
        <x:v>complete</x:v>
      </x:c>
      <x:c r="L21" s="118" t="str">
        <x:v>no_link</x:v>
      </x:c>
      <x:c r="M21" s="118" t="str"/>
      <x:c r="N21" s="118" t="str"/>
      <x:c r="O21" s="118" t="str">
        <x:v>Kemi Badenoch has been accused of weaponising violence against women and girls and using “dangerous” and “deeply inaccurate” claims in her response to the government’s plan to tackle the issue.</x:v>
      </x:c>
      <x:c r="P21" s="118" t="str">
        <x:v>rejected_incidental</x:v>
      </x:c>
      <x:c r="Q21" s="118" t="str">
        <x:v>No sampled Surrey place or issue is established.</x:v>
      </x:c>
      <x:c r="R21" s="118" t="str">
        <x:v>AI-assisted development draft (researcher verification required)</x:v>
      </x:c>
      <x:c r="S21" s="118" t="str">
        <x:v>2026-07-24</x:v>
      </x:c>
      <x:c r="T21" s="119" t="str">
        <x:f>IF(K21&lt;&gt;"complete","",IF(OR(L21="",P21="",O21="",R21="",S21=""),"CHECK","OK"))</x:f>
        <x:v>OK</x:v>
      </x:c>
    </x:row>
    <x:row r="22">
      <x:c r="A22" s="116" t="n">
        <x:v>30</x:v>
      </x:c>
      <x:c r="B22" s="116" t="str">
        <x:v>NEWS-guardian_api-8e547ee6efe6</x:v>
      </x:c>
      <x:c r="C22" s="116" t="str">
        <x:v>UK politics: Farage insults female reporter as Braverman says Reform UK wants to scrap Equality Act – as it happened</x:v>
      </x:c>
      <x:c r="D22" s="116" t="str">
        <x:v>exclude</x:v>
      </x:c>
      <x:c r="E22" s="116" t="str">
        <x:v>include</x:v>
      </x:c>
      <x:c r="F22" s="116" t="str">
        <x:v>yes</x:v>
      </x:c>
      <x:c r="G22" s="117" t="str"/>
      <x:c r="H22" s="117" t="str"/>
      <x:c r="I22" s="117" t="str">
        <x:v>Surrey councillor</x:v>
      </x:c>
      <x:c r="J22" s="117" t="str">
        <x:v>On C4News tonight, Gary Gibbon tells the story - based on my biography - of how in 2004, while a Ukip MEP, Farage secretly met a senior Cons MP &amp;amp; a Surrey councillor, seeking their help to defect &amp;amp; get picked for a safe Tory seat.</x:v>
      </x:c>
      <x:c r="K22" s="118" t="str">
        <x:v>complete</x:v>
      </x:c>
      <x:c r="L22" s="118" t="str">
        <x:v>no_link</x:v>
      </x:c>
      <x:c r="M22" s="118" t="str">
        <x:v>unnamed Surrey councillor</x:v>
      </x:c>
      <x:c r="N22" s="118" t="str"/>
      <x:c r="O22" s="118" t="str">
        <x:v>On C4News tonight, Gary Gibbon tells the story - based on my biography - of how in 2004, while a Ukip MEP, Farage secretly met a senior Cons MP &amp;amp; a Surrey councillor, seeking their help to defect &amp;amp; get picked for a safe Tory seat.</x:v>
      </x:c>
      <x:c r="P22" s="118" t="str">
        <x:v>rejected_incidental</x:v>
      </x:c>
      <x:c r="Q22" s="118" t="str">
        <x:v>The Surrey councillor reference is historical and incidental to national Reform coverage.</x:v>
      </x:c>
      <x:c r="R22" s="118" t="str">
        <x:v>AI-assisted development draft (researcher verification required)</x:v>
      </x:c>
      <x:c r="S22" s="118" t="str">
        <x:v>2026-07-24</x:v>
      </x:c>
      <x:c r="T22" s="119" t="str">
        <x:f>IF(K22&lt;&gt;"complete","",IF(OR(L22="",P22="",O22="",R22="",S22=""),"CHECK","OK"))</x:f>
        <x:v>OK</x:v>
      </x:c>
    </x:row>
    <x:row r="23">
      <x:c r="A23" s="116" t="n">
        <x:v>32</x:v>
      </x:c>
      <x:c r="B23" s="116" t="str">
        <x:v>NEWS-guardian_api-8f8e97810c4d</x:v>
      </x:c>
      <x:c r="C23" s="116" t="str">
        <x:v>Covid rules out Boxing Day hunts and parades amid uncertain future</x:v>
      </x:c>
      <x:c r="D23" s="116" t="str">
        <x:v>exclude</x:v>
      </x:c>
      <x:c r="E23" s="116" t="str">
        <x:v>include</x:v>
      </x:c>
      <x:c r="F23" s="116" t="str">
        <x:v>yes</x:v>
      </x:c>
      <x:c r="G23" s="117" t="str"/>
      <x:c r="H23" s="117" t="str"/>
      <x:c r="I23" s="117" t="str"/>
      <x:c r="J23" s="117" t="str"/>
      <x:c r="K23" s="118" t="str">
        <x:v>complete</x:v>
      </x:c>
      <x:c r="L23" s="118" t="str">
        <x:v>no_link</x:v>
      </x:c>
      <x:c r="M23" s="118" t="str">
        <x:v>Peterborough</x:v>
      </x:c>
      <x:c r="N23" s="118" t="str"/>
      <x:c r="O23" s="118" t="str">
        <x:v>Traditional Boxing Day hunts across large parts of the UK have been cancelled due to coronavirus restrictions, with those going ahead elsewhere not parading through town centres prior to their yuletide meet this year for the first time in recent history.</x:v>
      </x:c>
      <x:c r="P23" s="118" t="str">
        <x:v>rejected_incidental</x:v>
      </x:c>
      <x:c r="Q23" s="118" t="str">
        <x:v>The only named council decision is outside Surrey.</x:v>
      </x:c>
      <x:c r="R23" s="118" t="str">
        <x:v>AI-assisted development draft (researcher verification required)</x:v>
      </x:c>
      <x:c r="S23" s="118" t="str">
        <x:v>2026-07-24</x:v>
      </x:c>
      <x:c r="T23" s="119" t="str">
        <x:f>IF(K23&lt;&gt;"complete","",IF(OR(L23="",P23="",O23="",R23="",S23=""),"CHECK","OK"))</x:f>
        <x:v>OK</x:v>
      </x:c>
    </x:row>
    <x:row r="24">
      <x:c r="A24" s="116" t="n">
        <x:v>35</x:v>
      </x:c>
      <x:c r="B24" s="116" t="str">
        <x:v>NEWS-guardian_api-9dea17fa1487</x:v>
      </x:c>
      <x:c r="C24" s="116" t="str">
        <x:v>England's new Covid rules: what is allowed in tiers 1, 2 and 3?</x:v>
      </x:c>
      <x:c r="D24" s="116" t="str">
        <x:v>include</x:v>
      </x:c>
      <x:c r="E24" s="116" t="str">
        <x:v>exclude</x:v>
      </x:c>
      <x:c r="F24" s="116" t="str">
        <x:v>yes</x:v>
      </x:c>
      <x:c r="G24" s="117" t="str"/>
      <x:c r="H24" s="117" t="str"/>
      <x:c r="I24" s="117" t="str"/>
      <x:c r="J24" s="117" t="str"/>
      <x:c r="K24" s="118" t="str">
        <x:v>complete</x:v>
      </x:c>
      <x:c r="L24" s="118" t="str">
        <x:v>no_link</x:v>
      </x:c>
      <x:c r="M24" s="118" t="str">
        <x:v>Surrey</x:v>
      </x:c>
      <x:c r="N24" s="118" t="str"/>
      <x:c r="O24" s="118" t="str">
        <x:v>Liverpool city region, York, North Yorkshire, Cambridgeshire, Norfolk, Essex, East Sussex, Surrey, Oxfordshire, Dorset and Devon are among other locations in tier 2.</x:v>
      </x:c>
      <x:c r="P24" s="118" t="str">
        <x:v>rejected_incidental</x:v>
      </x:c>
      <x:c r="Q24" s="118" t="str">
        <x:v>Surrey appears in a national list of affected areas without a sampled-division link.</x:v>
      </x:c>
      <x:c r="R24" s="118" t="str">
        <x:v>AI-assisted development draft (researcher verification required)</x:v>
      </x:c>
      <x:c r="S24" s="118" t="str">
        <x:v>2026-07-24</x:v>
      </x:c>
      <x:c r="T24" s="119" t="str">
        <x:f>IF(K24&lt;&gt;"complete","",IF(OR(L24="",P24="",O24="",R24="",S24=""),"CHECK","OK"))</x:f>
        <x:v>OK</x:v>
      </x:c>
    </x:row>
    <x:row r="25">
      <x:c r="A25" s="116" t="n">
        <x:v>37</x:v>
      </x:c>
      <x:c r="B25" s="116" t="str">
        <x:v>NEWS-guardian_api-ab4a777c619a</x:v>
      </x:c>
      <x:c r="C25" s="116" t="str">
        <x:v>ID cards and wider issues of voter engagement | Letters</x:v>
      </x:c>
      <x:c r="D25" s="116" t="str">
        <x:v>exclude</x:v>
      </x:c>
      <x:c r="E25" s="116" t="str">
        <x:v>include</x:v>
      </x:c>
      <x:c r="F25" s="116" t="str">
        <x:v>yes</x:v>
      </x:c>
      <x:c r="G25" s="117" t="str"/>
      <x:c r="H25" s="117" t="str"/>
      <x:c r="I25" s="117" t="str"/>
      <x:c r="J25" s="117" t="str"/>
      <x:c r="K25" s="118" t="str">
        <x:v>complete</x:v>
      </x:c>
      <x:c r="L25" s="118" t="str">
        <x:v>no_link</x:v>
      </x:c>
      <x:c r="M25" s="118" t="str"/>
      <x:c r="N25" s="118" t="str"/>
      <x:c r="O25" s="118" t="str">
        <x:v>It is far too easy to impersonate someone at a polling station and claim their vote (Voters in local elections will be required to show ID in anti-fraud trials, 28 December).</x:v>
      </x:c>
      <x:c r="P25" s="118" t="str">
        <x:v>rejected_incidental</x:v>
      </x:c>
      <x:c r="Q25" s="118" t="str">
        <x:v>No sampled Surrey linkage is present.</x:v>
      </x:c>
      <x:c r="R25" s="118" t="str">
        <x:v>AI-assisted development draft (researcher verification required)</x:v>
      </x:c>
      <x:c r="S25" s="118" t="str">
        <x:v>2026-07-24</x:v>
      </x:c>
      <x:c r="T25" s="119" t="str">
        <x:f>IF(K25&lt;&gt;"complete","",IF(OR(L25="",P25="",O25="",R25="",S25=""),"CHECK","OK"))</x:f>
        <x:v>OK</x:v>
      </x:c>
    </x:row>
    <x:row r="26">
      <x:c r="A26" s="116" t="n">
        <x:v>38</x:v>
      </x:c>
      <x:c r="B26" s="116" t="str">
        <x:v>NEWS-guardian_api-b48d01a86b76</x:v>
      </x:c>
      <x:c r="C26" s="116" t="str">
        <x:v>Police to question Andrew’s former protection officers over his Epstein links</x:v>
      </x:c>
      <x:c r="D26" s="116" t="str">
        <x:v>include</x:v>
      </x:c>
      <x:c r="E26" s="116" t="str">
        <x:v>exclude</x:v>
      </x:c>
      <x:c r="F26" s="116" t="str">
        <x:v>yes</x:v>
      </x:c>
      <x:c r="G26" s="117" t="str"/>
      <x:c r="H26" s="117" t="str"/>
      <x:c r="I26" s="117" t="str"/>
      <x:c r="J26" s="117" t="str"/>
      <x:c r="K26" s="118" t="str">
        <x:v>complete</x:v>
      </x:c>
      <x:c r="L26" s="118" t="str">
        <x:v>no_link</x:v>
      </x:c>
      <x:c r="M26" s="118" t="str">
        <x:v>Surrey Police</x:v>
      </x:c>
      <x:c r="N26" s="118" t="str"/>
      <x:c r="O26" s="118" t="str">
        <x:v>Surrey and Thames Valley police forces are considering claims of sexual wrongdoing by the former prince.</x:v>
      </x:c>
      <x:c r="P26" s="118" t="str">
        <x:v>unresolved_missing_context</x:v>
      </x:c>
      <x:c r="Q26" s="118" t="str">
        <x:v>The Surrey force is substantively mentioned, but policing is not the council linkage required by L3 and no sampled area is named.</x:v>
      </x:c>
      <x:c r="R26" s="118" t="str">
        <x:v>AI-assisted development draft (researcher verification required)</x:v>
      </x:c>
      <x:c r="S26" s="118" t="str">
        <x:v>2026-07-24</x:v>
      </x:c>
      <x:c r="T26" s="119" t="str">
        <x:f>IF(K26&lt;&gt;"complete","",IF(OR(L26="",P26="",O26="",R26="",S26=""),"CHECK","OK"))</x:f>
        <x:v>OK</x:v>
      </x:c>
    </x:row>
    <x:row r="27">
      <x:c r="A27" s="116" t="n">
        <x:v>39</x:v>
      </x:c>
      <x:c r="B27" s="116" t="str">
        <x:v>NEWS-guardian_api-b9d210492f43</x:v>
      </x:c>
      <x:c r="C27" s="116" t="str">
        <x:v>Explainer: what are the new Covid rules in the UK from Boxing Day?</x:v>
      </x:c>
      <x:c r="D27" s="116" t="str">
        <x:v>include</x:v>
      </x:c>
      <x:c r="E27" s="116" t="str">
        <x:v>exclude</x:v>
      </x:c>
      <x:c r="F27" s="116" t="str">
        <x:v>yes</x:v>
      </x:c>
      <x:c r="G27" s="117" t="str"/>
      <x:c r="H27" s="117" t="str"/>
      <x:c r="I27" s="117" t="str"/>
      <x:c r="J27" s="117" t="str"/>
      <x:c r="K27" s="118" t="str">
        <x:v>needs_adjudication</x:v>
      </x:c>
      <x:c r="L27" s="118" t="str">
        <x:v>no_link</x:v>
      </x:c>
      <x:c r="M27" s="118" t="str">
        <x:v>Waverley</x:v>
      </x:c>
      <x:c r="N27" s="118" t="str"/>
      <x:c r="O27" s="118" t="str">
        <x:v>Areas moving to tier 4 are Sussex, Oxfordshire, Suffolk, Norfolk and Cambridgeshire, parts of Essex not yet in the highest tier, Waverley in Surrey and Hampshire, with the exception of the New Forest.</x:v>
      </x:c>
      <x:c r="P27" s="118" t="str">
        <x:v>unresolved_missing_context</x:v>
      </x:c>
      <x:c r="Q27" s="118" t="str">
        <x:v>Waverley contains sampled areas, but the article does not identify a specific sampled division and the governing decision is national rather than a Surrey council decision.</x:v>
      </x:c>
      <x:c r="R27" s="118" t="str">
        <x:v>AI-assisted development draft (researcher verification required)</x:v>
      </x:c>
      <x:c r="S27" s="118" t="str">
        <x:v>2026-07-24</x:v>
      </x:c>
      <x:c r="T27" s="119" t="str">
        <x:f>IF(K27&lt;&gt;"complete","",IF(OR(L27="",P27="",O27="",R27="",S27=""),"CHECK","OK"))</x:f>
      </x:c>
    </x:row>
    <x:row r="28">
      <x:c r="A28" s="116" t="n">
        <x:v>42</x:v>
      </x:c>
      <x:c r="B28" s="116" t="str">
        <x:v>NEWS-guardian_api-cc8e272342e5</x:v>
      </x:c>
      <x:c r="C28" s="116" t="str">
        <x:v>Enver Solomon restores our faith in Britain | Letters</x:v>
      </x:c>
      <x:c r="D28" s="116" t="str">
        <x:v>exclude</x:v>
      </x:c>
      <x:c r="E28" s="116" t="str">
        <x:v>include</x:v>
      </x:c>
      <x:c r="F28" s="116" t="str">
        <x:v>yes</x:v>
      </x:c>
      <x:c r="G28" s="117" t="str"/>
      <x:c r="H28" s="117" t="str"/>
      <x:c r="I28" s="117" t="str"/>
      <x:c r="J28" s="117" t="str"/>
      <x:c r="K28" s="118" t="str">
        <x:v>complete</x:v>
      </x:c>
      <x:c r="L28" s="118" t="str">
        <x:v>no_link</x:v>
      </x:c>
      <x:c r="M28" s="118" t="str"/>
      <x:c r="N28" s="118" t="str"/>
      <x:c r="O28" s="118" t="str">
        <x:v>A brilliant interview as always from Zoe Williams (‘We thought the Rwanda scheme was the worst of it’: Enver Solomon on leading – and leaving – the Refugee Council, 24 November).</x:v>
      </x:c>
      <x:c r="P28" s="118" t="str">
        <x:v>rejected_incidental</x:v>
      </x:c>
      <x:c r="Q28" s="118" t="str">
        <x:v>No sampled Surrey link is present.</x:v>
      </x:c>
      <x:c r="R28" s="118" t="str">
        <x:v>AI-assisted development draft (researcher verification required)</x:v>
      </x:c>
      <x:c r="S28" s="118" t="str">
        <x:v>2026-07-24</x:v>
      </x:c>
      <x:c r="T28" s="119" t="str">
        <x:f>IF(K28&lt;&gt;"complete","",IF(OR(L28="",P28="",O28="",R28="",S28=""),"CHECK","OK"))</x:f>
        <x:v>OK</x:v>
      </x:c>
    </x:row>
    <x:row r="29">
      <x:c r="A29" s="116" t="n">
        <x:v>43</x:v>
      </x:c>
      <x:c r="B29" s="116" t="str">
        <x:v>NEWS-guardian_api-d12e8db585f0</x:v>
      </x:c>
      <x:c r="C29" s="116" t="str">
        <x:v>Flawed council shake-up plans will not deliver savings | Letters</x:v>
      </x:c>
      <x:c r="D29" s="116" t="str">
        <x:v>exclude</x:v>
      </x:c>
      <x:c r="E29" s="116" t="str">
        <x:v>include</x:v>
      </x:c>
      <x:c r="F29" s="116" t="str">
        <x:v>yes</x:v>
      </x:c>
      <x:c r="G29" s="117" t="str"/>
      <x:c r="H29" s="117" t="str">
        <x:v>Guildford</x:v>
      </x:c>
      <x:c r="I29" s="117" t="str"/>
      <x:c r="J29" s="117" t="str">
        <x:v>Bernard Quoroll Guildford, Surrey • Why Labour is wasting energy on an unnecessary reform of local government is, as Polly Toynbee points out, puzzling.</x:v>
      </x:c>
      <x:c r="K29" s="118" t="str">
        <x:v>complete</x:v>
      </x:c>
      <x:c r="L29" s="118" t="str">
        <x:v>no_link</x:v>
      </x:c>
      <x:c r="M29" s="118" t="str">
        <x:v>Guildford</x:v>
      </x:c>
      <x:c r="N29" s="118" t="str"/>
      <x:c r="O29" s="118" t="str">
        <x:v>Bernard Quoroll Guildford, Surrey • Why Labour is wasting energy on an unnecessary reform of local government is, as Polly Toynbee points out, puzzling.</x:v>
      </x:c>
      <x:c r="P29" s="118" t="str">
        <x:v>rejected_incidental</x:v>
      </x:c>
      <x:c r="Q29" s="118" t="str">
        <x:v>Guildford is an author-location line rather than the subject or affected area of the letter.</x:v>
      </x:c>
      <x:c r="R29" s="118" t="str">
        <x:v>AI-assisted development draft (researcher verification required)</x:v>
      </x:c>
      <x:c r="S29" s="118" t="str">
        <x:v>2026-07-24</x:v>
      </x:c>
      <x:c r="T29" s="119" t="str">
        <x:f>IF(K29&lt;&gt;"complete","",IF(OR(L29="",P29="",O29="",R29="",S29=""),"CHECK","OK"))</x:f>
        <x:v>OK</x:v>
      </x:c>
    </x:row>
    <x:row r="30">
      <x:c r="A30" s="116" t="n">
        <x:v>44</x:v>
      </x:c>
      <x:c r="B30" s="116" t="str">
        <x:v>NEWS-guardian_api-de14fda465d9</x:v>
      </x:c>
      <x:c r="C30" s="116" t="str">
        <x:v>I've been unfairly targeted, says academic at heart of National Trust 'woke' row</x:v>
      </x:c>
      <x:c r="D30" s="116" t="str">
        <x:v>include</x:v>
      </x:c>
      <x:c r="E30" s="116" t="str">
        <x:v>exclude</x:v>
      </x:c>
      <x:c r="F30" s="116" t="str">
        <x:v>yes</x:v>
      </x:c>
      <x:c r="G30" s="117" t="str"/>
      <x:c r="H30" s="117" t="str"/>
      <x:c r="I30" s="117" t="str"/>
      <x:c r="J30" s="117" t="str"/>
      <x:c r="K30" s="118" t="str">
        <x:v>complete</x:v>
      </x:c>
      <x:c r="L30" s="118" t="str">
        <x:v>no_link</x:v>
      </x:c>
      <x:c r="M30" s="118" t="str">
        <x:v>Clandon Park</x:v>
      </x:c>
      <x:c r="N30" s="118" t="str"/>
      <x:c r="O30" s="118" t="str">
        <x:v>Co-edited by Fowler, it highlighted that 93 trust properties, including Clandon Park in Surrey and Hare Hill in Cheshire, were linked to wealth from plantations and the slave trade, while others, such as Bateman’s, Rudyard Kipling’s home in Sussex, were important to understanding Britain’s colonial history.</x:v>
      </x:c>
      <x:c r="P30" s="118" t="str">
        <x:v>rejected_incidental</x:v>
      </x:c>
      <x:c r="Q30" s="118" t="str">
        <x:v>The Surrey property is a passing example within a national list and does not establish sampled-area relevance.</x:v>
      </x:c>
      <x:c r="R30" s="118" t="str">
        <x:v>AI-assisted development draft (researcher verification required)</x:v>
      </x:c>
      <x:c r="S30" s="118" t="str">
        <x:v>2026-07-24</x:v>
      </x:c>
      <x:c r="T30" s="119" t="str">
        <x:f>IF(K30&lt;&gt;"complete","",IF(OR(L30="",P30="",O30="",R30="",S30=""),"CHECK","OK"))</x:f>
        <x:v>OK</x:v>
      </x:c>
    </x:row>
    <x:row r="31">
      <x:c r="A31" s="116" t="n">
        <x:v>46</x:v>
      </x:c>
      <x:c r="B31" s="116" t="str">
        <x:v>NEWS-guardian_api-e9ed22adbdb1</x:v>
      </x:c>
      <x:c r="C31" s="116" t="str">
        <x:v>A new year brings new battles for democracy and for Labour | Letters </x:v>
      </x:c>
      <x:c r="D31" s="116" t="str">
        <x:v>exclude</x:v>
      </x:c>
      <x:c r="E31" s="116" t="str">
        <x:v>include</x:v>
      </x:c>
      <x:c r="F31" s="116" t="str">
        <x:v>yes</x:v>
      </x:c>
      <x:c r="G31" s="117" t="str"/>
      <x:c r="H31" s="117" t="str">
        <x:v>Farnham</x:v>
      </x:c>
      <x:c r="I31" s="117" t="str"/>
      <x:c r="J31" s="117" t="str">
        <x:v>Tom Quinn Farnham, Surrey • Have an opinion on anything you’ve read in the Guardian today?</x:v>
      </x:c>
      <x:c r="K31" s="118" t="str">
        <x:v>complete</x:v>
      </x:c>
      <x:c r="L31" s="118" t="str">
        <x:v>no_link</x:v>
      </x:c>
      <x:c r="M31" s="118" t="str">
        <x:v>Farnham</x:v>
      </x:c>
      <x:c r="N31" s="118" t="str"/>
      <x:c r="O31" s="118" t="str">
        <x:v>Tom Quinn Farnham, Surrey • Have an opinion on anything you’ve read in the Guardian today?</x:v>
      </x:c>
      <x:c r="P31" s="118" t="str">
        <x:v>rejected_incidental</x:v>
      </x:c>
      <x:c r="Q31" s="118" t="str">
        <x:v>Farnham is an author-location line rather than the subject of the letter.</x:v>
      </x:c>
      <x:c r="R31" s="118" t="str">
        <x:v>AI-assisted development draft (researcher verification required)</x:v>
      </x:c>
      <x:c r="S31" s="118" t="str">
        <x:v>2026-07-24</x:v>
      </x:c>
      <x:c r="T31" s="119" t="str">
        <x:f>IF(K31&lt;&gt;"complete","",IF(OR(L31="",P31="",O31="",R31="",S31=""),"CHECK","OK"))</x:f>
        <x:v>OK</x:v>
      </x:c>
    </x:row>
    <x:row r="32">
      <x:c r="A32" s="116" t="n">
        <x:v>47</x:v>
      </x:c>
      <x:c r="B32" s="116" t="str">
        <x:v>NEWS-guardian_api-f0e1fbfa261a</x:v>
      </x:c>
      <x:c r="C32" s="116" t="str">
        <x:v>Today in healthcare: Tuesday 22 January</x:v>
      </x:c>
      <x:c r="D32" s="116" t="str">
        <x:v>include</x:v>
      </x:c>
      <x:c r="E32" s="116" t="str">
        <x:v>exclude</x:v>
      </x:c>
      <x:c r="F32" s="116" t="str">
        <x:v>yes</x:v>
      </x:c>
      <x:c r="G32" s="117" t="str"/>
      <x:c r="H32" s="117" t="str"/>
      <x:c r="I32" s="117" t="str"/>
      <x:c r="J32" s="117" t="str"/>
      <x:c r="K32" s="118" t="str">
        <x:v>complete</x:v>
      </x:c>
      <x:c r="L32" s="118" t="str">
        <x:v>L1_place</x:v>
      </x:c>
      <x:c r="M32" s="118" t="str">
        <x:v>Epsom</x:v>
      </x:c>
      <x:c r="N32" s="118" t="str">
        <x:v>Epsom Town &amp; Downs</x:v>
      </x:c>
      <x:c r="O32" s="118" t="str">
        <x:v>Jessica Fuhl writes Assurances have been given that Epsom Hospital will not close under an NHS review covering Surrey and south west London, Epsom council has said.</x:v>
      </x:c>
      <x:c r="P32" s="118" t="str">
        <x:v>confirmed</x:v>
      </x:c>
      <x:c r="Q32" s="118" t="str">
        <x:v>The Epsom Hospital item directly concerns the sampled town and is not merely an address or passing list item.</x:v>
      </x:c>
      <x:c r="R32" s="118" t="str">
        <x:v>AI-assisted development draft (researcher verification required)</x:v>
      </x:c>
      <x:c r="S32" s="118" t="str">
        <x:v>2026-07-24</x:v>
      </x:c>
      <x:c r="T32" s="119" t="str">
        <x:f>IF(K32&lt;&gt;"complete","",IF(OR(L32="",P32="",O32="",R32="",S32=""),"CHECK","OK"))</x:f>
        <x:v>OK</x:v>
      </x:c>
    </x:row>
    <x:row r="33">
      <x:c r="A33" s="116" t="n">
        <x:v>48</x:v>
      </x:c>
      <x:c r="B33" s="116" t="str">
        <x:v>NEWS-guardian_api-ffae95f17052</x:v>
      </x:c>
      <x:c r="C33" s="116" t="str">
        <x:v>‘An abomination’: the Lancashire town kicking up a stink over reopened landfill</x:v>
      </x:c>
      <x:c r="D33" s="116" t="str">
        <x:v>exclude</x:v>
      </x:c>
      <x:c r="E33" s="116" t="str">
        <x:v>include</x:v>
      </x:c>
      <x:c r="F33" s="116" t="str">
        <x:v>yes</x:v>
      </x:c>
      <x:c r="G33" s="117" t="str"/>
      <x:c r="H33" s="117" t="str"/>
      <x:c r="I33" s="117" t="str"/>
      <x:c r="J33" s="117" t="str"/>
      <x:c r="K33" s="118" t="str">
        <x:v>complete</x:v>
      </x:c>
      <x:c r="L33" s="118" t="str">
        <x:v>no_link</x:v>
      </x:c>
      <x:c r="M33" s="118" t="str">
        <x:v>Fleetwood</x:v>
      </x:c>
      <x:c r="N33" s="118" t="str"/>
      <x:c r="O33" s="118" t="str">
        <x:v>In the week that many families went to the coast for the fresh sea air or the tang of fish and chips, visitors to one Lancashire resort inhaled a rather more unpleasant aroma.</x:v>
      </x:c>
      <x:c r="P33" s="118" t="str">
        <x:v>rejected_incidental</x:v>
      </x:c>
      <x:c r="Q33" s="118" t="str">
        <x:v>The affected location is in Lancashire, outside the Surrey study area.</x:v>
      </x:c>
      <x:c r="R33" s="118" t="str">
        <x:v>AI-assisted development draft (researcher verification required)</x:v>
      </x:c>
      <x:c r="S33" s="118" t="str">
        <x:v>2026-07-24</x:v>
      </x:c>
      <x:c r="T33" s="119" t="str">
        <x:f>IF(K33&lt;&gt;"complete","",IF(OR(L33="",P33="",O33="",R33="",S33=""),"CHECK","OK"))</x:f>
        <x:v>OK</x:v>
      </x:c>
    </x:row>
  </x:sheetData>
  <x:mergeCells>
    <x:mergeCell ref="A1:T1"/>
    <x:mergeCell ref="A2:T2"/>
    <x:mergeCell ref="A3:T3"/>
  </x:mergeCells>
  <x:dataValidations count="3">
    <x:dataValidation type="list" sqref="K6:K33">
      <x:formula1>"not_started,in_progress,complete,needs_adjudication"</x:formula1>
    </x:dataValidation>
    <x:dataValidation type="list" sqref="L6:L33">
      <x:formula1>"L1_place,L2_candidate,L3_council_issue,L4_county_wide,no_link"</x:formula1>
    </x:dataValidation>
    <x:dataValidation type="list" sqref="P6:P33">
      <x:formula1>"confirmed,rejected_incidental,unresolved_missing_context,not_applicable"</x:formula1>
    </x:dataValidation>
  </x:dataValidations>
  <x:pageMargins left="0.7" right="0.7" top="0.75" bottom="0.75" header="0.3" footer="0.3"/>
</x:worksheet>
</file>